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a5eeea5a624cb9" /></Relationships>
</file>

<file path=xl/workbook.xml><?xml version="1.0" encoding="utf-8"?>
<x:workbook xmlns:x="http://schemas.openxmlformats.org/spreadsheetml/2006/main">
  <x:sheets>
    <x:sheet xmlns:r="http://schemas.openxmlformats.org/officeDocument/2006/relationships" name="Overview" sheetId="1" r:id="Rba610381a1b547d9"/>
    <x:sheet xmlns:r="http://schemas.openxmlformats.org/officeDocument/2006/relationships" name="Flagship Evidence" sheetId="2" r:id="R7c8bb0534ca84dab"/>
    <x:sheet xmlns:r="http://schemas.openxmlformats.org/officeDocument/2006/relationships" name="Canonical Repositories" sheetId="3" r:id="Re73b76cedef54625"/>
    <x:sheet xmlns:r="http://schemas.openxmlformats.org/officeDocument/2006/relationships" name="Ecosystem Summary" sheetId="4" r:id="Rd647fd84d5c24ab8"/>
    <x:sheet xmlns:r="http://schemas.openxmlformats.org/officeDocument/2006/relationships" name="Professional Record" sheetId="5" r:id="R2c280166000d47f0"/>
    <x:sheet xmlns:r="http://schemas.openxmlformats.org/officeDocument/2006/relationships" name="Reconciliation" sheetId="6" r:id="Rfc4b293cd4c4401c"/>
    <x:sheet xmlns:r="http://schemas.openxmlformats.org/officeDocument/2006/relationships" name="Ministry Evidence" sheetId="7" r:id="R26c05f49ee4543b0"/>
    <x:sheet xmlns:r="http://schemas.openxmlformats.org/officeDocument/2006/relationships" name="Source Register" sheetId="8" r:id="Ra3ebd1be018647ca"/>
    <x:sheet xmlns:r="http://schemas.openxmlformats.org/officeDocument/2006/relationships" name="Methodology" sheetId="9" r:id="Rf2167dd5d4884200"/>
    <x:sheet xmlns:r="http://schemas.openxmlformats.org/officeDocument/2006/relationships" name="Change Log" sheetId="10" r:id="Rfbb6ec89ac5e4428"/>
  </x:sheets>
</x:workbook>
</file>

<file path=xl/sharedStrings.xml><?xml version="1.0" encoding="utf-8"?>
<x:sst xmlns:x="http://schemas.openxmlformats.org/spreadsheetml/2006/main">
  <x:si>
    <x:t xml:space="preserve">Llewellyn van der Merwe — Canonical Professional Evidence Ledger</x:t>
  </x:si>
  <x:si>
    <x:t xml:space="preserve">FINAL CANONICAL REPOSITORIES</x:t>
  </x:si>
  <x:si>
    <x:t xml:space="preserve">FORK RECORDS INCLUDED</x:t>
  </x:si>
  <x:si>
    <x:t xml:space="preserve">CURRENT SOURCE-REVIEWED ADDITIONS</x:t>
  </x:si>
  <x:si>
    <x:t xml:space="preserve">REVIEWED TO</x:t>
  </x:si>
  <x:si>
    <x:t xml:space="preserve">#</x:t>
  </x:si>
  <x:si>
    <x:t xml:space="preserve">Repository</x:t>
  </x:si>
  <x:si>
    <x:t xml:space="preserve">Ecosystem</x:t>
  </x:si>
  <x:si>
    <x:t xml:space="preserve">Evidence status</x:t>
  </x:si>
  <x:si>
    <x:t xml:space="preserve">Verified role</x:t>
  </x:si>
  <x:si>
    <x:t xml:space="preserve">Professional significance</x:t>
  </x:si>
  <x:si>
    <x:t xml:space="preserve">Repository URL</x:t>
  </x:si>
  <x:si>
    <x:t xml:space="preserve">How to use this workbook</x:t>
  </x:si>
  <x:si>
    <x:t xml:space="preserve">Start with Flagship Evidence for CV case studies, use Canonical Repositories for the complete de-duplicated public record, and use Professional Record for chronology, client-confidential context, leadership, education, mission, privacy and editorial authority. Repository metrics are dated evidence snapshots; they are not to be summed into vanity totals.</x:t>
  </x:si>
  <x:si>
    <x:t xml:space="preserve">Flagship Engineering Evidence</x:t>
  </x:si>
  <x:si>
    <x:t xml:space="preserve">Source-reviewed case-study authority for the Executive CV and the leading project sections of the Exhaustive CV.</x:t>
  </x:si>
  <x:si>
    <x:t xml:space="preserve">Order</x:t>
  </x:si>
  <x:si>
    <x:t xml:space="preserve">Current verified scope</x:t>
  </x:si>
  <x:si>
    <x:t xml:space="preserve">Technology signals</x:t>
  </x:si>
  <x:si>
    <x:t xml:space="preserve">Key evidence</x:t>
  </x:si>
  <x:si>
    <x:t xml:space="preserve">CV significance</x:t>
  </x:si>
  <x:si>
    <x:t xml:space="preserve">Evidence limits</x:t>
  </x:si>
  <x:si>
    <x:t xml:space="preserve">Evidence URL</x:t>
  </x:si>
  <x:si>
    <x:t xml:space="preserve">Reviewed to</x:t>
  </x:si>
  <x:si>
    <x:t xml:space="preserve">Canonical Public Repository Register</x:t>
  </x:si>
  <x:si>
    <x:t xml:space="preserve">Rank</x:t>
  </x:si>
  <x:si>
    <x:t xml:space="preserve">Tier</x:t>
  </x:si>
  <x:si>
    <x:t xml:space="preserve">Owner</x:t>
  </x:si>
  <x:si>
    <x:t xml:space="preserve">First attributable date</x:t>
  </x:si>
  <x:si>
    <x:t xml:space="preserve">Latest evidence date</x:t>
  </x:si>
  <x:si>
    <x:t xml:space="preserve">Activity / status</x:t>
  </x:si>
  <x:si>
    <x:t xml:space="preserve">Verified commits</x:t>
  </x:si>
  <x:si>
    <x:t xml:space="preserve">Active days</x:t>
  </x:si>
  <x:si>
    <x:t xml:space="preserve">Active months</x:t>
  </x:si>
  <x:si>
    <x:t xml:space="preserve">Additions</x:t>
  </x:si>
  <x:si>
    <x:t xml:space="preserve">Deletions</x:t>
  </x:si>
  <x:si>
    <x:t xml:space="preserve">Changed lines</x:t>
  </x:si>
  <x:si>
    <x:t xml:space="preserve">Unique paths</x:t>
  </x:si>
  <x:si>
    <x:t xml:space="preserve">Professional assessment</x:t>
  </x:si>
  <x:si>
    <x:t xml:space="preserve">Purpose</x:t>
  </x:si>
  <x:si>
    <x:t xml:space="preserve">Metric / update note</x:t>
  </x:si>
  <x:si>
    <x:t xml:space="preserve">Evidence basis</x:t>
  </x:si>
  <x:si>
    <x:t xml:space="preserve">Engineering Ecosystem Summary</x:t>
  </x:si>
  <x:si>
    <x:t xml:space="preserve">Canonical repository counts by ecosystem and public custodian. Counts refer to unique canonical records, not forks, mirrors or raw repository objects.</x:t>
  </x:si>
  <x:si>
    <x:t xml:space="preserve">Canonical repositories by engineering ecosystem</x:t>
  </x:si>
  <x:si>
    <x:t xml:space="preserve">Canonical repositories by owner / organisation</x:t>
  </x:si>
  <x:si>
    <x:t xml:space="preserve">Canonical repositories</x:t>
  </x:si>
  <x:si>
    <x:t xml:space="preserve">Flagship</x:t>
  </x:si>
  <x:si>
    <x:t xml:space="preserve">Major</x:t>
  </x:si>
  <x:si>
    <x:t xml:space="preserve">Supporting</x:t>
  </x:si>
  <x:si>
    <x:t xml:space="preserve">Historical / Foundation</x:t>
  </x:si>
  <x:si>
    <x:t xml:space="preserve">Current / recent</x:t>
  </x:si>
  <x:si>
    <x:t xml:space="preserve">Owner / organisation</x:t>
  </x:si>
  <x:si>
    <x:t xml:space="preserve">Professional, Editorial and Confidentiality Authority</x:t>
  </x:si>
  <x:si>
    <x:t xml:space="preserve">Facts and direct instructions that must govern both CVs alongside the repository evidence.</x:t>
  </x:si>
  <x:si>
    <x:t xml:space="preserve">Section</x:t>
  </x:si>
  <x:si>
    <x:t xml:space="preserve">Evidence / authority</x:t>
  </x:si>
  <x:si>
    <x:t xml:space="preserve">Recommended CV treatment</x:t>
  </x:si>
  <x:si>
    <x:t xml:space="preserve">Evidence type</x:t>
  </x:si>
  <x:si>
    <x:t xml:space="preserve">Verification status</x:t>
  </x:si>
  <x:si>
    <x:t xml:space="preserve">Source / URL</x:t>
  </x:si>
  <x:si>
    <x:t xml:space="preserve">Confidentiality / editorial note</x:t>
  </x:si>
  <x:si>
    <x:t xml:space="preserve">Professional identity</x:t>
  </x:si>
  <x:si>
    <x:t xml:space="preserve">Llewellyn van der Merwe — Director | Senior Architectural Engineer of Intelligent Software and Systems.</x:t>
  </x:si>
  <x:si>
    <x:t xml:space="preserve">Use as the exact primary identity and title on both CVs.</x:t>
  </x:si>
  <x:si>
    <x:t xml:space="preserve">Direct instruction</x:t>
  </x:si>
  <x:si>
    <x:t xml:space="preserve">Authoritative</x:t>
  </x:si>
  <x:si>
    <x:t xml:space="preserve">AI_HELP_DOC_CV.txt</x:t>
  </x:si>
  <x:si>
    <x:t xml:space="preserve">Do not shorten or replace the primary title.</x:t>
  </x:si>
  <x:si>
    <x:t xml:space="preserve">Senior Software &amp; Systems Architect | PHP/Joomla Platform Engineer | Linux/DevOps &amp; Applied AI.</x:t>
  </x:si>
  <x:si>
    <x:t xml:space="preserve">Use only as an optional secondary positioning line.</x:t>
  </x:si>
  <x:si>
    <x:t xml:space="preserve">Secondary to the exact primary title.</x:t>
  </x:si>
  <x:si>
    <x:t xml:space="preserve">Professional positioning</x:t>
  </x:si>
  <x:si>
    <x:t xml:space="preserve">Senior hands-on architect combining implementation, architecture, client responsibility, infrastructure, release ownership and technical leadership.</x:t>
  </x:si>
  <x:si>
    <x:t xml:space="preserve">Make this integrated responsibility the central narrative, not an unfocused technology list.</x:t>
  </x:si>
  <x:si>
    <x:t xml:space="preserve">Direct instruction + supplied record</x:t>
  </x:si>
  <x:si>
    <x:t xml:space="preserve">AI_HELP_DOC_CV.txt; Professional Dossier</x:t>
  </x:si>
  <x:si>
    <x:t xml:space="preserve">Use mature, confident language; avoid forensic framing.</x:t>
  </x:si>
  <x:si>
    <x:t xml:space="preserve">Professional chronology</x:t>
  </x:si>
  <x:si>
    <x:t xml:space="preserve">Software engineering from 2008 to the present.</x:t>
  </x:si>
  <x:si>
    <x:t xml:space="preserve">State clearly in profile and chronology.</x:t>
  </x:si>
  <x:si>
    <x:t xml:space="preserve">Supplied professional record</x:t>
  </x:si>
  <x:si>
    <x:t xml:space="preserve">Confirmed by supplied documents</x:t>
  </x:si>
  <x:si>
    <x:t xml:space="preserve">Llewellyn_van_der_Merwe_Executive_CV(2).pdf; Professional Dossier</x:t>
  </x:si>
  <x:si>
    <x:t xml:space="preserve">Use actual current-to date at generation.</x:t>
  </x:si>
  <x:si>
    <x:t xml:space="preserve">Linux systems administration and production operations from 2010 to the present.</x:t>
  </x:si>
  <x:si>
    <x:t xml:space="preserve">State as continuous operational responsibility supporting engineering judgment.</x:t>
  </x:si>
  <x:si>
    <x:t xml:space="preserve">Llewellyn_van_der_Merwe_Professional_Dossier(2).pdf</x:t>
  </x:si>
  <x:si>
    <x:t xml:space="preserve">Do not expose client topology or credentials.</x:t>
  </x:si>
  <x:si>
    <x:t xml:space="preserve">Founder/director responsibility at Vast Development Method from 2013 to the present.</x:t>
  </x:si>
  <x:si>
    <x:t xml:space="preserve">Make Vast Development Method the central professional context for client, product and public engineering work.</x:t>
  </x:si>
  <x:si>
    <x:t xml:space="preserve">Do not fragment client engagements into unrelated employers.</x:t>
  </x:si>
  <x:si>
    <x:t xml:space="preserve">Company engineering estate</x:t>
  </x:si>
  <x:si>
    <x:t xml:space="preserve">https://git.vdm.dev/ is the company-owned Git forge and primary engineering estate, containing public, private, internal, client and mirrored work.</x:t>
  </x:si>
  <x:si>
    <x:t xml:space="preserve">Give this a prominent callout in the Executive CV and fuller treatment in the Exhaustive CV.</x:t>
  </x:si>
  <x:si>
    <x:t xml:space="preserve">https://git.vdm.dev/</x:t>
  </x:si>
  <x:si>
    <x:t xml:space="preserve">Do not enumerate private repositories, clients, internal structures or security details.</x:t>
  </x:si>
  <x:si>
    <x:t xml:space="preserve">Integrated lifecycle</x:t>
  </x:si>
  <x:si>
    <x:t xml:space="preserve">Demonstrated responsibility spans discovery, domain modelling, architecture, implementation, data, integration, testing, packaging, deployment, infrastructure, security, release, maintenance and technical leadership.</x:t>
  </x:si>
  <x:si>
    <x:t xml:space="preserve">Use as the organizing logic for capabilities and case studies.</x:t>
  </x:si>
  <x:si>
    <x:t xml:space="preserve">Direct instruction + repository evidence</x:t>
  </x:si>
  <x:si>
    <x:t xml:space="preserve">Supported</x:t>
  </x:si>
  <x:si>
    <x:t xml:space="preserve">AI_HELP_DOC_CV.txt; canonical repository ledger</x:t>
  </x:si>
  <x:si>
    <x:t xml:space="preserve">Avoid generic full-stack slogans; show the lifecycle through evidence.</x:t>
  </x:si>
  <x:si>
    <x:t xml:space="preserve">Technical centre</x:t>
  </x:si>
  <x:si>
    <x:t xml:space="preserve">Strongest technical centre is PHP/Joomla platform engineering, reinforced by C/C++, Python, Bash, TypeScript/JavaScript, SQL, Docker, Linux, APIs, security and applied AI.</x:t>
  </x:si>
  <x:si>
    <x:t xml:space="preserve">Present breadth as a coherent systems capability around architecture and ownership.</x:t>
  </x:si>
  <x:si>
    <x:t xml:space="preserve">Supplied record + current repositories</x:t>
  </x:si>
  <x:si>
    <x:t xml:space="preserve">Executive CV; Professional Dossier; canonical repository ledger</x:t>
  </x:si>
  <x:si>
    <x:t xml:space="preserve">Do not use arbitrary skill scores or mastery percentages.</x:t>
  </x:si>
  <x:si>
    <x:t xml:space="preserve">Applied AI and MCP</x:t>
  </x:si>
  <x:si>
    <x:t xml:space="preserve">Current work includes Joomla MCP, hardened agent environments, local inference infrastructure, MCP integration and agent-oriented workflows.</x:t>
  </x:si>
  <x:si>
    <x:t xml:space="preserve">Position as an extension of mature architecture and automation practice, not a replacement for engineering.</x:t>
  </x:si>
  <x:si>
    <x:t xml:space="preserve">Current repository evidence</x:t>
  </x:si>
  <x:si>
    <x:t xml:space="preserve">Source-reviewed</x:t>
  </x:si>
  <x:si>
    <x:t xml:space="preserve">https://github.com/joomengine/joomla-mcp; https://github.com/vast-development-method/opencode-platform; https://github.com/vast-development-method/colibri-setup</x:t>
  </x:si>
  <x:si>
    <x:t xml:space="preserve">Preserve production-readiness caveats documented by each project.</x:t>
  </x:si>
  <x:si>
    <x:t xml:space="preserve">Client delivery</x:t>
  </x:si>
  <x:si>
    <x:t xml:space="preserve">Selected institutional and long-term engagements were delivered through Vast Development Method.</x:t>
  </x:si>
  <x:si>
    <x:t xml:space="preserve">Frame named engagements as programmes or client relationships served through the company.</x:t>
  </x:si>
  <x:si>
    <x:t xml:space="preserve">Direct clarification</x:t>
  </x:si>
  <x:si>
    <x:t xml:space="preserve">Do not imply employment by each client or programme.</x:t>
  </x:si>
  <x:si>
    <x:t xml:space="preserve">NamPharm — long-running pharmaceutical-distribution engagement from 2016 to the present.</x:t>
  </x:si>
  <x:si>
    <x:t xml:space="preserve">Describe continuity, trust, application delivery and operational responsibility at capability/outcome level.</x:t>
  </x:si>
  <x:si>
    <x:t xml:space="preserve">Subject-supplied / client-confidential</x:t>
  </x:si>
  <x:si>
    <x:t xml:space="preserve">Professional Dossier; https://www.nampharm.com.na/</x:t>
  </x:si>
  <x:si>
    <x:t xml:space="preserve">Do not disclose private system names, architecture, hosting, integrations or security controls.</x:t>
  </x:si>
  <x:si>
    <x:t xml:space="preserve">East African Community — institutional systems and continuing operational support from 2017 to the present.</x:t>
  </x:si>
  <x:si>
    <x:t xml:space="preserve">Describe senior delivery and continuity for a regional intergovernmental context.</x:t>
  </x:si>
  <x:si>
    <x:t xml:space="preserve">Professional Dossier; https://www.eac.int/</x:t>
  </x:si>
  <x:si>
    <x:t xml:space="preserve">Protect implementation detail and private infrastructure.</x:t>
  </x:si>
  <x:si>
    <x:t xml:space="preserve">EU–EAC MARKUP — programme delivery and maintenance from 2019 to the present.</x:t>
  </x:si>
  <x:si>
    <x:t xml:space="preserve">Describe programme-context delivery accurately; do not imply employment by the UN, EU or ITC.</x:t>
  </x:si>
  <x:si>
    <x:t xml:space="preserve">Subject-supplied / programme context public</x:t>
  </x:si>
  <x:si>
    <x:t xml:space="preserve">Use outcome-level language only.</x:t>
  </x:si>
  <x:si>
    <x:t xml:space="preserve">GIZ-linked work may remain as a named institutional context.</x:t>
  </x:si>
  <x:si>
    <x:t xml:space="preserve">Describe broad objective and engineering responsibility without identifying private systems or exact stacks.</x:t>
  </x:si>
  <x:si>
    <x:t xml:space="preserve">Direct clarification + supplied record</x:t>
  </x:si>
  <x:si>
    <x:t xml:space="preserve">Use “GIZ” without unnecessary linkage or technical exposure.</x:t>
  </x:si>
  <x:si>
    <x:t xml:space="preserve">Consulting portfolio</x:t>
  </x:si>
  <x:si>
    <x:t xml:space="preserve">Vast Development Method also delivers many shorter and medium-duration engagements across clients and sectors.</x:t>
  </x:si>
  <x:si>
    <x:t xml:space="preserve">Group these as a consulting portfolio rather than listing every small company.</x:t>
  </x:si>
  <x:si>
    <x:t xml:space="preserve">Protect client confidentiality and avoid clutter.</x:t>
  </x:si>
  <x:si>
    <x:t xml:space="preserve">Open-source leadership</x:t>
  </x:si>
  <x:si>
    <x:t xml:space="preserve">Joomla Component Builder architecture and long-term stewardship are the clearest continuous platform-leadership evidence.</x:t>
  </x:si>
  <x:si>
    <x:t xml:space="preserve">Use as the central engineering case study, supported by adjacent JoomEngine registries, packages, documentation and tooling.</x:t>
  </x:si>
  <x:si>
    <x:t xml:space="preserve">Public repository evidence</x:t>
  </x:si>
  <x:si>
    <x:t xml:space="preserve">Source-reviewed / long-term</x:t>
  </x:si>
  <x:si>
    <x:t xml:space="preserve">https://github.com/joomengine/Joomla-Component-Builder</x:t>
  </x:si>
  <x:si>
    <x:t xml:space="preserve">Do not inflate raw line counts; emphasize architecture, compatibility and maintenance.</x:t>
  </x:si>
  <x:si>
    <x:t xml:space="preserve">Joomla community</x:t>
  </x:si>
  <x:si>
    <x:t xml:space="preserve">Official service includes architecture/strategy, production, operations, testing, GSoC, Joomla Extensions Directory, web/infrastructure, Docker, security-related work and Afrikaans localisation.</x:t>
  </x:si>
  <x:si>
    <x:t xml:space="preserve">Give leadership and community service materially stronger treatment.</x:t>
  </x:si>
  <x:si>
    <x:t xml:space="preserve">Public community record</x:t>
  </x:si>
  <x:si>
    <x:t xml:space="preserve">Publicly verifiable</x:t>
  </x:si>
  <x:si>
    <x:t xml:space="preserve">https://volunteers.joomla.org/joomlers/1396-llewellyn-van-der-merwe</x:t>
  </x:si>
  <x:si>
    <x:t xml:space="preserve">Validate current role status at final CV generation.</x:t>
  </x:si>
  <x:si>
    <x:t xml:space="preserve">Teaching and mentoring</x:t>
  </x:si>
  <x:si>
    <x:t xml:space="preserve">Public speaking, lectures, conference sessions, internship supervision, one-to-one mentoring and developer coaching are sustained professional activities.</x:t>
  </x:si>
  <x:si>
    <x:t xml:space="preserve">Create a substantive teaching/mentoring section, not a thin sidebar.</x:t>
  </x:si>
  <x:si>
    <x:t xml:space="preserve">Do not invent institutions, learner counts, dates or outcomes.</x:t>
  </x:si>
  <x:si>
    <x:t xml:space="preserve">Coaching includes design patterns, system decomposition, software architecture, Linux/infrastructure and responsible AI-assisted engineering.</x:t>
  </x:si>
  <x:si>
    <x:t xml:space="preserve">Present knowledge transfer as a deliberate contribution to developing the next generation of engineers.</x:t>
  </x:si>
  <x:si>
    <x:t xml:space="preserve">Keep claims capability-based unless public event evidence exists.</x:t>
  </x:si>
  <x:si>
    <x:t xml:space="preserve">Education</x:t>
  </x:si>
  <x:si>
    <x:t xml:space="preserve">Champlain College Bachelor of Science in Web Design and Development studies, 2019–2022; degree not completed.</x:t>
  </x:si>
  <x:si>
    <x:t xml:space="preserve">State transparently and without defensiveness; never imply the degree was awarded.</x:t>
  </x:si>
  <x:si>
    <x:t xml:space="preserve">Supplied academic record</x:t>
  </x:si>
  <x:si>
    <x:t xml:space="preserve">Confirmed by supplied record</x:t>
  </x:si>
  <x:si>
    <x:t xml:space="preserve">Professional Dossier; historical academic audit referenced there</x:t>
  </x:si>
  <x:si>
    <x:t xml:space="preserve">No academic-equivalence claims as credentials.</x:t>
  </x:si>
  <x:si>
    <x:t xml:space="preserve">Supplied 24 August 2020 audit records 30 institutional credits and a 4.000 GPA, with A grades in every listed completed course.</x:t>
  </x:si>
  <x:si>
    <x:t xml:space="preserve">Include as a concise factual achievement.</x:t>
  </x:si>
  <x:si>
    <x:t xml:space="preserve">Professional Dossier</x:t>
  </x:si>
  <x:si>
    <x:t xml:space="preserve">Keep date and incomplete-degree context visible.</x:t>
  </x:si>
  <x:si>
    <x:t xml:space="preserve">Certification</x:t>
  </x:si>
  <x:si>
    <x:t xml:space="preserve">Certified C++ Programmer — Concentrated Studies in C++ Programming (2020); C++ Programming I and II graded A.</x:t>
  </x:si>
  <x:si>
    <x:t xml:space="preserve">Retain prominently in education/certification.</x:t>
  </x:si>
  <x:si>
    <x:t xml:space="preserve">Supplied credential</x:t>
  </x:si>
  <x:si>
    <x:t xml:space="preserve">Do not overstate public C++ portfolio beyond the evidence.</x:t>
  </x:si>
  <x:si>
    <x:t xml:space="preserve">Continuing development</x:t>
  </x:si>
  <x:si>
    <x:t xml:space="preserve">Thirty-four recorded technical and design courses from 2011–2015 across PHP/MySQL, OOP, MVC, Java, JavaScript/AJAX/JSON, Node.js, NoSQL, Linux, regex, HTML/CSS, jQuery, Joomla and visual design.</x:t>
  </x:si>
  <x:si>
    <x:t xml:space="preserve">Use in the Exhaustive CV as a structured continuing-development record.</x:t>
  </x:si>
  <x:si>
    <x:t xml:space="preserve">Supplied historical CV</x:t>
  </x:si>
  <x:si>
    <x:t xml:space="preserve">Subject-supplied</x:t>
  </x:si>
  <x:si>
    <x:t xml:space="preserve">Avoid turning the Executive CV into a course dump.</x:t>
  </x:si>
  <x:si>
    <x:t xml:space="preserve">Mission and service</x:t>
  </x:si>
  <x:si>
    <x:t xml:space="preserve">Christian conversion in 1998; full-time mission involvement from 2000; Windhoek church established in 2004; elder service from 2026.</x:t>
  </x:si>
  <x:si>
    <x:t xml:space="preserve">Retain with dignity in a mission, communication and service section.</x:t>
  </x:si>
  <x:si>
    <x:t xml:space="preserve">Supplied personal history</x:t>
  </x:si>
  <x:si>
    <x:t xml:space="preserve">Do not make the section read like a forensic audit.</x:t>
  </x:si>
  <x:si>
    <x:t xml:space="preserve">Ministry evidence</x:t>
  </x:si>
  <x:si>
    <x:t xml:space="preserve">Use only where the scale supports sustained preparation, teaching and communication.</x:t>
  </x:si>
  <x:si>
    <x:t xml:space="preserve">Supplied archive analysis</x:t>
  </x:si>
  <x:si>
    <x:t xml:space="preserve">Previously analysed</x:t>
  </x:si>
  <x:si>
    <x:t xml:space="preserve">Professional Dossier; source archive filenames recorded in ledger</x:t>
  </x:si>
  <x:si>
    <x:t xml:space="preserve">Public media index</x:t>
  </x:si>
  <x:si>
    <x:t xml:space="preserve">Publicly verifiable at audit date</x:t>
  </x:si>
  <x:si>
    <x:t xml:space="preserve">https://www.youtube.com/playlist?list=PLQ0hdLmrf1wHsklyQyYXmnQYummVXwqZC</x:t>
  </x:si>
  <x:si>
    <x:t xml:space="preserve">Privacy</x:t>
  </x:si>
  <x:si>
    <x:t xml:space="preserve">No telephone number and no email address may appear in visible content, links, metadata, hidden fields, image overlays or accessibility text.</x:t>
  </x:si>
  <x:si>
    <x:t xml:space="preserve">Treat as an absolute acceptance criterion for every output.</x:t>
  </x:si>
  <x:si>
    <x:t xml:space="preserve">Do not invent a replacement email address.</x:t>
  </x:si>
  <x:si>
    <x:t xml:space="preserve">Contact</x:t>
  </x:si>
  <x:si>
    <x:t xml:space="preserve">Primary contact route: Contact via Telegram — https://t.me/llewellynvdm</x:t>
  </x:si>
  <x:si>
    <x:t xml:space="preserve">Make this the clear primary call to action.</x:t>
  </x:si>
  <x:si>
    <x:t xml:space="preserve">https://t.me/llewellynvdm</x:t>
  </x:si>
  <x:si>
    <x:t xml:space="preserve">Website and GitHub remain secondary contact routes.</x:t>
  </x:si>
  <x:si>
    <x:t xml:space="preserve">Professional website: https://vdm.io/llewellyn; GitHub: https://github.com/Llewellynvdm; Gitea: https://git.vdm.dev; location: Windhoek, Namibia.</x:t>
  </x:si>
  <x:si>
    <x:t xml:space="preserve">Retain as visible, clickable public routes.</x:t>
  </x:si>
  <x:si>
    <x:t xml:space="preserve">No email or telephone.</x:t>
  </x:si>
  <x:si>
    <x:t xml:space="preserve">Visual authority</x:t>
  </x:si>
  <x:si>
    <x:t xml:space="preserve">The PDFs are a complete redesign using the light-mode visual language of the GitHub Pages portfolio.</x:t>
  </x:si>
  <x:si>
    <x:t xml:space="preserve">Treat the portfolio as the design reference for typography, hierarchy, spacing, restrained accents and technical character.</x:t>
  </x:si>
  <x:si>
    <x:t xml:space="preserve">https://llewellynvdm.github.io/profile/</x:t>
  </x:si>
  <x:si>
    <x:t xml:space="preserve">Do not reproduce the old CV with superficial colour changes.</x:t>
  </x:si>
  <x:si>
    <x:t xml:space="preserve">Portraits</x:t>
  </x:si>
  <x:si>
    <x:t xml:space="preserve">Several supplied portraits are available and may be selected interchangeably.</x:t>
  </x:si>
  <x:si>
    <x:t xml:space="preserve">Choose the photograph that best supports the composition; do not ask the user to make routine crop/layout decisions.</x:t>
  </x:si>
  <x:si>
    <x:t xml:space="preserve">Supplied project images</x:t>
  </x:si>
  <x:si>
    <x:t xml:space="preserve">No contact text over the portrait.</x:t>
  </x:si>
  <x:si>
    <x:t xml:space="preserve">Voice</x:t>
  </x:si>
  <x:si>
    <x:t xml:space="preserve">The CV must be authoritative, calm, technically literate and supportive—on display, not on trial.</x:t>
  </x:si>
  <x:si>
    <x:t xml:space="preserve">Rewrite dossier evidence into normal professional biography; remove “subject-confirmed,” “evidence suggests,” AI-assessment and investigative language.</x:t>
  </x:si>
  <x:si>
    <x:t xml:space="preserve">AI_HELP_DOC_CV.txt; AI_HELP_DOC_DOSSIER.txt</x:t>
  </x:si>
  <x:si>
    <x:t xml:space="preserve">The final CV must not mention the evidence ledger or AI validation.</x:t>
  </x:si>
  <x:si>
    <x:t xml:space="preserve">Repository Reconciliation</x:t>
  </x:si>
  <x:si>
    <x:t xml:space="preserve">Canonicalization result</x:t>
  </x:si>
  <x:si>
    <x:t xml:space="preserve">Stage</x:t>
  </x:si>
  <x:si>
    <x:t xml:space="preserve">Count</x:t>
  </x:si>
  <x:si>
    <x:t xml:space="preserve">Arithmetic / result</x:t>
  </x:si>
  <x:si>
    <x:t xml:space="preserve">Meaning</x:t>
  </x:si>
  <x:si>
    <x:t xml:space="preserve">Included in CV counts?</x:t>
  </x:si>
  <x:si>
    <x:t xml:space="preserve">Control</x:t>
  </x:si>
  <x:si>
    <x:t xml:space="preserve">Original repository objects inspected</x:t>
  </x:si>
  <x:si>
    <x:t xml:space="preserve">Starting inventory</x:t>
  </x:si>
  <x:si>
    <x:t xml:space="preserve">All public repository objects in the original evidence workbook.</x:t>
  </x:si>
  <x:si>
    <x:t xml:space="preserve">No</x:t>
  </x:si>
  <x:si>
    <x:t xml:space="preserve">Historical scope</x:t>
  </x:si>
  <x:si>
    <x:t xml:space="preserve">Fork objects removed</x:t>
  </x:si>
  <x:si>
    <x:t xml:space="preserve">268 − 141 = 127</x:t>
  </x:si>
  <x:si>
    <x:t xml:space="preserve">Every object marked as a GitHub fork was removed.</x:t>
  </x:si>
  <x:si>
    <x:t xml:space="preserve">No fork rows retained</x:t>
  </x:si>
  <x:si>
    <x:t xml:space="preserve">Non-fork, no attributable implementation</x:t>
  </x:si>
  <x:si>
    <x:t xml:space="preserve">127 − 9 = 118</x:t>
  </x:si>
  <x:si>
    <x:t xml:space="preserve">Membership or ownership without attributable coding input was not treated as evidence.</x:t>
  </x:si>
  <x:si>
    <x:t xml:space="preserve">Attribution required</x:t>
  </x:si>
  <x:si>
    <x:t xml:space="preserve">Duplicate / superseded / alias / generated-delivery records removed</x:t>
  </x:si>
  <x:si>
    <x:t xml:space="preserve">118 − 14 = 104</x:t>
  </x:si>
  <x:si>
    <x:t xml:space="preserve">One canonical project record retained for each code lineage.</x:t>
  </x:si>
  <x:si>
    <x:t xml:space="preserve">No double counting</x:t>
  </x:si>
  <x:si>
    <x:t xml:space="preserve">Canonical legacy records retained</x:t>
  </x:si>
  <x:si>
    <x:t xml:space="preserve">Original reconciled authority</x:t>
  </x:si>
  <x:si>
    <x:t xml:space="preserve">Unique non-fork attributable records from the original inventory.</x:t>
  </x:si>
  <x:si>
    <x:t xml:space="preserve">Yes</x:t>
  </x:si>
  <x:si>
    <x:t xml:space="preserve">Canonical</x:t>
  </x:si>
  <x:si>
    <x:t xml:space="preserve">Newly added current records</x:t>
  </x:si>
  <x:si>
    <x:t xml:space="preserve">First evidence</x:t>
  </x:si>
  <x:si>
    <x:t xml:space="preserve">Latest evidence</x:t>
  </x:si>
  <x:si>
    <x:t xml:space="preserve">joomengine/joomla-mcp</x:t>
  </x:si>
  <x:si>
    <x:t xml:space="preserve">joomengine</x:t>
  </x:si>
  <x:si>
    <x:t xml:space="preserve">https://github.com/joomengine/joomla-mcp</x:t>
  </x:si>
  <x:si>
    <x:t xml:space="preserve">vast-development-method/opencode-platform</x:t>
  </x:si>
  <x:si>
    <x:t xml:space="preserve">vast-development-method</x:t>
  </x:si>
  <x:si>
    <x:t xml:space="preserve">https://github.com/vast-development-method/opencode-platform</x:t>
  </x:si>
  <x:si>
    <x:t xml:space="preserve">vast-development-method/colibri-setup</x:t>
  </x:si>
  <x:si>
    <x:t xml:space="preserve">https://github.com/vast-development-method/colibri-setup</x:t>
  </x:si>
  <x:si>
    <x:t xml:space="preserve">getbible/sword</x:t>
  </x:si>
  <x:si>
    <x:t xml:space="preserve">getbible</x:t>
  </x:si>
  <x:si>
    <x:t xml:space="preserve">https://github.com/getbible/sword</x:t>
  </x:si>
  <x:si>
    <x:t xml:space="preserve">getbible/scripture</x:t>
  </x:si>
  <x:si>
    <x:t xml:space="preserve">https://github.com/getbible/scripture</x:t>
  </x:si>
  <x:si>
    <x:t xml:space="preserve">Mission, Ministry and Public Communication Evidence</x:t>
  </x:si>
  <x:si>
    <x:t xml:space="preserve">Evidence body</x:t>
  </x:si>
  <x:si>
    <x:t xml:space="preserve">Hours</x:t>
  </x:si>
  <x:si>
    <x:t xml:space="preserve">Date first</x:t>
  </x:si>
  <x:si>
    <x:t xml:space="preserve">Date last</x:t>
  </x:si>
  <x:si>
    <x:t xml:space="preserve">Definition</x:t>
  </x:si>
  <x:si>
    <x:t xml:space="preserve">Source</x:t>
  </x:si>
  <x:si>
    <x:t xml:space="preserve">Confidence</x:t>
  </x:si>
  <x:si>
    <x:t xml:space="preserve">Supplied archive</x:t>
  </x:si>
  <x:si>
    <x:t xml:space="preserve">family devotions.zip; Namibia Mission Sermons.zip</x:t>
  </x:si>
  <x:si>
    <x:t xml:space="preserve">Public YouTube playlist</x:t>
  </x:si>
  <x:si>
    <x:t xml:space="preserve">Supplied archive by year</x:t>
  </x:si>
  <x:si>
    <x:t xml:space="preserve">Year</x:t>
  </x:si>
  <x:si>
    <x:t xml:space="preserve">Recordings</x:t>
  </x:si>
  <x:si>
    <x:t xml:space="preserve">Reading note</x:t>
  </x:si>
  <x:si>
    <x:t xml:space="preserve">Earliest surviving Namibia Mission metadata.</x:t>
  </x:si>
  <x:si>
    <x:t xml:space="preserve">Longer mission/church recordings become more visible.</x:t>
  </x:si>
  <x:si>
    <x:t xml:space="preserve">Family Devotions begins; both supplied collections active.</x:t>
  </x:si>
  <x:si>
    <x:t xml:space="preserve">Sustained weekly-scale teaching.</x:t>
  </x:si>
  <x:si>
    <x:t xml:space="preserve">Largest surviving annual count.</x:t>
  </x:si>
  <x:si>
    <x:t xml:space="preserve">Selected Source Register</x:t>
  </x:si>
  <x:si>
    <x:t xml:space="preserve">Files and public URLs supporting the canonical repository and professional record.</x:t>
  </x:si>
  <x:si>
    <x:t xml:space="preserve">Category</x:t>
  </x:si>
  <x:si>
    <x:t xml:space="preserve">Supports</x:t>
  </x:si>
  <x:si>
    <x:t xml:space="preserve">URL / file</x:t>
  </x:si>
  <x:si>
    <x:t xml:space="preserve">Review date</x:t>
  </x:si>
  <x:si>
    <x:t xml:space="preserve">Notes</x:t>
  </x:si>
  <x:si>
    <x:t xml:space="preserve">Supplied record</x:t>
  </x:si>
  <x:si>
    <x:t xml:space="preserve">Executive CV</x:t>
  </x:si>
  <x:si>
    <x:t xml:space="preserve">Historical wording, chronology, education, contact data to remove</x:t>
  </x:si>
  <x:si>
    <x:t xml:space="preserve">Professional history, repository audit, community, education and ministry evidence</x:t>
  </x:si>
  <x:si>
    <x:t xml:space="preserve">Factual/historical source; forensic tone must not carry into CV.</x:t>
  </x:si>
  <x:si>
    <x:t xml:space="preserve">CV clarification</x:t>
  </x:si>
  <x:si>
    <x:t xml:space="preserve">Privacy, selected repositories, company forge, clients, teaching and redesign direction</x:t>
  </x:si>
  <x:si>
    <x:t xml:space="preserve">Overrides conflicting editorial choices in older documents.</x:t>
  </x:si>
  <x:si>
    <x:t xml:space="preserve">Dossier clarification</x:t>
  </x:si>
  <x:si>
    <x:t xml:space="preserve">Convert dossier into supportive exhaustive CV; remove duplicates and prioritize custodians</x:t>
  </x:si>
  <x:si>
    <x:t xml:space="preserve">AI_HELP_DOC_DOSSIER.txt</x:t>
  </x:si>
  <x:si>
    <x:t xml:space="preserve">Primary canonicalization and tone instruction.</x:t>
  </x:si>
  <x:si>
    <x:t xml:space="preserve">Current production requirements and acceptance criteria</x:t>
  </x:si>
  <x:si>
    <x:t xml:space="preserve">Portfolio</x:t>
  </x:si>
  <x:si>
    <x:t xml:space="preserve">Professional portfolio and visual reference</x:t>
  </x:si>
  <x:si>
    <x:t xml:space="preserve">Light-mode visual language and public capability presentation</x:t>
  </x:si>
  <x:si>
    <x:t xml:space="preserve">Profile repository</x:t>
  </x:si>
  <x:si>
    <x:t xml:space="preserve">Source for the online CV/portfolio</x:t>
  </x:si>
  <x:si>
    <x:t xml:space="preserve">https://github.com/Llewellynvdm/profile</x:t>
  </x:si>
  <x:si>
    <x:t xml:space="preserve">Company estate</x:t>
  </x:si>
  <x:si>
    <x:t xml:space="preserve">VDM Gitea</x:t>
  </x:si>
  <x:si>
    <x:t xml:space="preserve">Primary company engineering estate and public/private forge context</x:t>
  </x:si>
  <x:si>
    <x:t xml:space="preserve">Do not enumerate private repositories.</x:t>
  </x:si>
  <x:si>
    <x:t xml:space="preserve">Organisation</x:t>
  </x:si>
  <x:si>
    <x:t xml:space="preserve">Vast Development Method</x:t>
  </x:si>
  <x:si>
    <x:t xml:space="preserve">Newly relevant company public organisation</x:t>
  </x:si>
  <x:si>
    <x:t xml:space="preserve">https://github.com/vast-development-method</x:t>
  </x:si>
  <x:si>
    <x:t xml:space="preserve">Added to canonical scope.</x:t>
  </x:si>
  <x:si>
    <x:t xml:space="preserve">GetBible</x:t>
  </x:si>
  <x:si>
    <x:t xml:space="preserve">Scripture data, libraries, native integration, applications and services</x:t>
  </x:si>
  <x:si>
    <x:t xml:space="preserve">https://github.com/getbible</x:t>
  </x:si>
  <x:si>
    <x:t xml:space="preserve">Current repositories reviewed selectively.</x:t>
  </x:si>
  <x:si>
    <x:t xml:space="preserve">JoomEngine</x:t>
  </x:si>
  <x:si>
    <x:t xml:space="preserve">JCB platform, registries, packaging and Joomla MCP</x:t>
  </x:si>
  <x:si>
    <x:t xml:space="preserve">https://github.com/joomengine</x:t>
  </x:si>
  <x:si>
    <x:t xml:space="preserve">Joomla MCP added as flagship.</x:t>
  </x:si>
  <x:si>
    <x:t xml:space="preserve">OctoLeo</x:t>
  </x:si>
  <x:si>
    <x:t xml:space="preserve">Bash, Docker, deployment and release tooling</x:t>
  </x:si>
  <x:si>
    <x:t xml:space="preserve">https://github.com/octoleo</x:t>
  </x:si>
  <x:si>
    <x:t xml:space="preserve">Primary custodian organisation.</x:t>
  </x:si>
  <x:si>
    <x:t xml:space="preserve">True Christian</x:t>
  </x:si>
  <x:si>
    <x:t xml:space="preserve">Christian publishing and ministry systems</x:t>
  </x:si>
  <x:si>
    <x:t xml:space="preserve">https://github.com/trueChristian</x:t>
  </x:si>
  <x:si>
    <x:t xml:space="preserve">Primary public custodian for relevant non-fork projects.</x:t>
  </x:si>
  <x:si>
    <x:t xml:space="preserve">Joomla Component Builder</x:t>
  </x:si>
  <x:si>
    <x:t xml:space="preserve">Principal platform evidence</x:t>
  </x:si>
  <x:si>
    <x:t xml:space="preserve">Canonical JCB repository.</x:t>
  </x:si>
  <x:si>
    <x:t xml:space="preserve">Joomla MCP</x:t>
  </x:si>
  <x:si>
    <x:t xml:space="preserve">Applied AI/MCP and Joomla administration architecture</x:t>
  </x:si>
  <x:si>
    <x:t xml:space="preserve">Octojoom</x:t>
  </x:si>
  <x:si>
    <x:t xml:space="preserve">Cross-platform Bash/Docker Joomla deployment</x:t>
  </x:si>
  <x:si>
    <x:t xml:space="preserve">https://github.com/octoleo/octojoom</x:t>
  </x:si>
  <x:si>
    <x:t xml:space="preserve">Selected public mirror; kept once.</x:t>
  </x:si>
  <x:si>
    <x:t xml:space="preserve">JoomEngine Docker images</x:t>
  </x:si>
  <x:si>
    <x:t xml:space="preserve">Deterministic JCB image build and publication</x:t>
  </x:si>
  <x:si>
    <x:t xml:space="preserve">https://github.com/octoleo/joomengine</x:t>
  </x:si>
  <x:si>
    <x:t xml:space="preserve">Selected flagship.</x:t>
  </x:si>
  <x:si>
    <x:t xml:space="preserve">GetBible Librarian</x:t>
  </x:si>
  <x:si>
    <x:t xml:space="preserve">Python reference and search library</x:t>
  </x:si>
  <x:si>
    <x:t xml:space="preserve">https://github.com/getbible/librarian</x:t>
  </x:si>
  <x:si>
    <x:t xml:space="preserve">Current source review to 20 July 2026.</x:t>
  </x:si>
  <x:si>
    <x:t xml:space="preserve">Official Joomla Docker</x:t>
  </x:si>
  <x:si>
    <x:t xml:space="preserve">Official container maintenance evidence</x:t>
  </x:si>
  <x:si>
    <x:t xml:space="preserve">https://github.com/joomla-docker/docker-joomla</x:t>
  </x:si>
  <x:si>
    <x:t xml:space="preserve">External official-project evidence.</x:t>
  </x:si>
  <x:si>
    <x:t xml:space="preserve">GetBible Robot</x:t>
  </x:si>
  <x:si>
    <x:t xml:space="preserve">Telegram service, Mini App and deployment hardening</x:t>
  </x:si>
  <x:si>
    <x:t xml:space="preserve">https://github.com/getbible/robot</x:t>
  </x:si>
  <x:si>
    <x:t xml:space="preserve">GetBible Sword</x:t>
  </x:si>
  <x:si>
    <x:t xml:space="preserve">Native PHP extension over getBibleSword C ABI</x:t>
  </x:si>
  <x:si>
    <x:t xml:space="preserve">41 commits in exact comparison.</x:t>
  </x:si>
  <x:si>
    <x:t xml:space="preserve">GetBible Scripture</x:t>
  </x:si>
  <x:si>
    <x:t xml:space="preserve">Immutable/lazy PHP application layer</x:t>
  </x:si>
  <x:si>
    <x:t xml:space="preserve">23 commits in exact comparison.</x:t>
  </x:si>
  <x:si>
    <x:t xml:space="preserve">OpenCode Platform</x:t>
  </x:si>
  <x:si>
    <x:t xml:space="preserve">Hardened Incus agent VM platform and Joomla MCP integration</x:t>
  </x:si>
  <x:si>
    <x:t xml:space="preserve">Colibri Setup</x:t>
  </x:si>
  <x:si>
    <x:t xml:space="preserve">CPU/NVMe local-model service operations</x:t>
  </x:si>
  <x:si>
    <x:t xml:space="preserve">Joomla</x:t>
  </x:si>
  <x:si>
    <x:t xml:space="preserve">Official volunteer profile</x:t>
  </x:si>
  <x:si>
    <x:t xml:space="preserve">Community roles, Honour Roll and service history</x:t>
  </x:si>
  <x:si>
    <x:t xml:space="preserve">Time-sensitive roles must be rechecked at final CV generation.</x:t>
  </x:si>
  <x:si>
    <x:t xml:space="preserve">Client context</x:t>
  </x:si>
  <x:si>
    <x:t xml:space="preserve">NamPharm</x:t>
  </x:si>
  <x:si>
    <x:t xml:space="preserve">Public organisational context only</x:t>
  </x:si>
  <x:si>
    <x:t xml:space="preserve">https://www.nampharm.com.na/</x:t>
  </x:si>
  <x:si>
    <x:t xml:space="preserve">Private delivery details remain confidential.</x:t>
  </x:si>
  <x:si>
    <x:t xml:space="preserve">East African Community</x:t>
  </x:si>
  <x:si>
    <x:t xml:space="preserve">Public institutional context only</x:t>
  </x:si>
  <x:si>
    <x:t xml:space="preserve">https://www.eac.int/</x:t>
  </x:si>
  <x:si>
    <x:t xml:space="preserve">Programme context</x:t>
  </x:si>
  <x:si>
    <x:t xml:space="preserve">EU–EAC MARKUP</x:t>
  </x:si>
  <x:si>
    <x:t xml:space="preserve">Public programme context; not employment</x:t>
  </x:si>
  <x:si>
    <x:t xml:space="preserve">Use accurate programme wording.</x:t>
  </x:si>
  <x:si>
    <x:t xml:space="preserve">Ministry</x:t>
  </x:si>
  <x:si>
    <x:t xml:space="preserve">Brother Llewellyn playlist</x:t>
  </x:si>
  <x:si>
    <x:t xml:space="preserve">Public communication evidence</x:t>
  </x:si>
  <x:si>
    <x:t xml:space="preserve">Methodology and Interpretation Rules</x:t>
  </x:si>
  <x:si>
    <x:t xml:space="preserve">The ledger is designed for trustworthy professional composition rather than inflated portfolio totals.</x:t>
  </x:si>
  <x:si>
    <x:t xml:space="preserve">Area</x:t>
  </x:si>
  <x:si>
    <x:t xml:space="preserve">Canonical rule / interpretation</x:t>
  </x:si>
  <x:si>
    <x:t xml:space="preserve">Authority order</x:t>
  </x:si>
  <x:si>
    <x:t xml:space="preserve">Direct clarification documents override older CV wording and presentation. Verified public sources update time-sensitive repository facts. Older documents remain factual/historical sources.</x:t>
  </x:si>
  <x:si>
    <x:t xml:space="preserve">Repository universe</x:t>
  </x:si>
  <x:si>
    <x:t xml:space="preserve">The original inventory contained 268 GitHub repository objects. The canonical ledger begins from that fixed inventory, then applies explicit exclusions and current additions.</x:t>
  </x:si>
  <x:si>
    <x:t xml:space="preserve">Fork rule</x:t>
  </x:si>
  <x:si>
    <x:t xml:space="preserve">All 141 objects marked as GitHub forks in the original inventory are removed completely. No fork repository row or fork name is retained anywhere in the canonical workbook.</x:t>
  </x:si>
  <x:si>
    <x:t xml:space="preserve">Attribution rule</x:t>
  </x:si>
  <x:si>
    <x:t xml:space="preserve">Nine non-fork repositories with no attributable implementation history are removed. Ownership or organisation membership alone is not treated as coding evidence.</x:t>
  </x:si>
  <x:si>
    <x:t xml:space="preserve">Canonicalization rule</x:t>
  </x:si>
  <x:si>
    <x:t xml:space="preserve">When the same code, generated release history, obsolete source snapshot, alias or superseded public copy appears more than once, one professional canonical record is retained according to current custodian priority and project lineage.</x:t>
  </x:si>
  <x:si>
    <x:t xml:space="preserve">Custodian priority</x:t>
  </x:si>
  <x:si>
    <x:t xml:space="preserve">Legacy canonical set</x:t>
  </x:si>
  <x:si>
    <x:t xml:space="preserve">After fork, attribution and duplicate/supersession removal, 104 canonical records remain from the original inventory.</x:t>
  </x:si>
  <x:si>
    <x:t xml:space="preserve">Current additions</x:t>
  </x:si>
  <x:si>
    <x:t xml:space="preserve">Five newly relevant source-reviewed repositories are added: joomengine/joomla-mcp, vast-development-method/opencode-platform, vast-development-method/colibri-setup, getbible/sword and getbible/scripture.</x:t>
  </x:si>
  <x:si>
    <x:t xml:space="preserve">Final canonical count</x:t>
  </x:si>
  <x:si>
    <x:t xml:space="preserve">Metric dates</x:t>
  </x:si>
  <x:si>
    <x:t xml:space="preserve">Legacy commit/churn metrics remain explicitly dated to the 18 July 2026 identity-aware audit. Current source-reviewed additions use exact initial-to-reviewed-head commit comparisons. Qualitative updates are labelled when no complete recount exists.</x:t>
  </x:si>
  <x:si>
    <x:t xml:space="preserve">No invented metrics</x:t>
  </x:si>
  <x:si>
    <x:t xml:space="preserve">A blank current metric is preferable to a guessed number. The GetBible Robot row therefore retires its obsolete historical commit count without asserting a replacement total.</x:t>
  </x:si>
  <x:si>
    <x:t xml:space="preserve">No aggregate churn</x:t>
  </x:si>
  <x:si>
    <x:t xml:space="preserve">Repository additions/deletions are not summed into a portfolio claim. Mirrors, generated output, data snapshots and different metric dates make a raw aggregate professionally misleading.</x:t>
  </x:si>
  <x:si>
    <x:t xml:space="preserve">Generated output</x:t>
  </x:si>
  <x:si>
    <x:t xml:space="preserve">Generated and delivered output may remain in repository-level historical metrics, but is never described as manually typed line-for-line.</x:t>
  </x:si>
  <x:si>
    <x:t xml:space="preserve">No modeled hours</x:t>
  </x:si>
  <x:si>
    <x:t xml:space="preserve">The previous modeled-effort ranges are not carried into this canonical workbook. They were comparative estimates, not timesheets, and are unnecessary for a trustworthy CV authority.</x:t>
  </x:si>
  <x:si>
    <x:t xml:space="preserve">Evidence levels</x:t>
  </x:si>
  <x:si>
    <x:t xml:space="preserve">Public source-reviewed facts, supplied professional records, direct editorial authority and client-confidential subject-supplied facts are identified separately.</x:t>
  </x:si>
  <x:si>
    <x:t xml:space="preserve">Client confidentiality</x:t>
  </x:si>
  <x:si>
    <x:t xml:space="preserve">Named client and programme evidence is kept at role, objective, continuity and capability level. Private stacks, architectures, topologies, integrations, security controls and repository names are excluded.</x:t>
  </x:si>
  <x:si>
    <x:t xml:space="preserve">Company forge boundary</x:t>
  </x:si>
  <x:si>
    <x:t xml:space="preserve">git.vdm.dev is recorded as the primary company engineering estate, but private repository names and client material are not inventoried.</x:t>
  </x:si>
  <x:si>
    <x:t xml:space="preserve">CV use</x:t>
  </x:si>
  <x:si>
    <x:t xml:space="preserve">The ledger supports confident professional composition. The finished CVs must not describe themselves as audits, dossiers, evidence reviews or AI-validated documents.</x:t>
  </x:si>
  <x:si>
    <x:t xml:space="preserve">Data freshness</x:t>
  </x:si>
  <x:si>
    <x:t xml:space="preserve">Evidence Ledger Change Log</x:t>
  </x:si>
  <x:si>
    <x:t xml:space="preserve">Date</x:t>
  </x:si>
  <x:si>
    <x:t xml:space="preserve">Scope</x:t>
  </x:si>
  <x:si>
    <x:t xml:space="preserve">Change</x:t>
  </x:si>
  <x:si>
    <x:t xml:space="preserve">Result</x:t>
  </x:si>
  <x:si>
    <x:t xml:space="preserve">Repository reconciliation</x:t>
  </x:si>
  <x:si>
    <x:t xml:space="preserve">Removed every repository object marked as a fork in the original inventory.</x:t>
  </x:si>
  <x:si>
    <x:t xml:space="preserve">141 fork objects excluded; no fork names retained in the canonical workbook.</x:t>
  </x:si>
  <x:si>
    <x:t xml:space="preserve">Attribution quality</x:t>
  </x:si>
  <x:si>
    <x:t xml:space="preserve">Removed non-fork repositories without attributable implementation evidence.</x:t>
  </x:si>
  <x:si>
    <x:t xml:space="preserve">9 records excluded.</x:t>
  </x:si>
  <x:si>
    <x:t xml:space="preserve">Deduplication</x:t>
  </x:si>
  <x:si>
    <x:t xml:space="preserve">Collapsed duplicate, superseded, alias, obsolete snapshot and generated-delivery records into one canonical project record.</x:t>
  </x:si>
  <x:si>
    <x:t xml:space="preserve">14 records excluded; 104 canonical legacy records retained.</x:t>
  </x:si>
  <x:si>
    <x:t xml:space="preserve">Current scope</x:t>
  </x:si>
  <x:si>
    <x:t xml:space="preserve">Added source-reviewed repositories that did not exist in the original inventory.</x:t>
  </x:si>
  <x:si>
    <x:t xml:space="preserve">Joomla MCP, OpenCode Platform, Colibri Setup, GetBible Sword and GetBible Scripture added.</x:t>
  </x:si>
  <x:si>
    <x:t xml:space="preserve">Refreshed Librarian and Robot evidence after substantial July 2026 work.</x:t>
  </x:si>
  <x:si>
    <x:t xml:space="preserve">Librarian current comparison recorded; Robot scope rewritten and obsolete commit count retired.</x:t>
  </x:si>
  <x:si>
    <x:t xml:space="preserve">Added Joomla MCP and elevated it to flagship status.</x:t>
  </x:si>
  <x:si>
    <x:t xml:space="preserve">Applied-AI/MCP capability now appears on the first sheet.</x:t>
  </x:si>
  <x:si>
    <x:t xml:space="preserve">Added the newly relevant public organisation and its current platform projects.</x:t>
  </x:si>
  <x:si>
    <x:t xml:space="preserve">OpenCode Platform and Colibri Setup now represented.</x:t>
  </x:si>
  <x:si>
    <x:t xml:space="preserve">Flagship presentation</x:t>
  </x:si>
  <x:si>
    <x:t xml:space="preserve">Moved the repositories named in the clarification document to the first sheet and supplemented them with current strategic projects.</x:t>
  </x:si>
  <x:si>
    <x:t xml:space="preserve">Professional evidence</x:t>
  </x:si>
  <x:si>
    <x:t xml:space="preserve">Integrated chronology, company context, client confidentiality, leadership, teaching, education, mission, privacy and design authority.</x:t>
  </x:si>
  <x:si>
    <x:t xml:space="preserve">Professional Record sheet added.</x:t>
  </x:si>
  <x:si>
    <x:t xml:space="preserve">Trustworthiness</x:t>
  </x:si>
  <x:si>
    <x:t xml:space="preserve">Removed modeled hour bands and retired unsafe aggregate churn claims.</x:t>
  </x:si>
  <x:si>
    <x:t xml:space="preserve">Workbook now distinguishes dated metric snapshots from current source reviews.</x:t>
  </x:si>
</x:sst>
</file>

<file path=xl/styles.xml><?xml version="1.0" encoding="utf-8"?>
<x:styleSheet xmlns:x="http://schemas.openxmlformats.org/spreadsheetml/2006/main">
  <x:numFmts count="7">
    <x:numFmt numFmtId="164" formatCode="General"/>
    <x:numFmt numFmtId="165" formatCode="yyyy\-mm\-dd"/>
    <x:numFmt numFmtId="166" formatCode="#,##0"/>
    <x:numFmt numFmtId="167" formatCode="#,##0.00"/>
    <x:numFmt numFmtId="200" formatCode="dd mmm yyyy"/>
    <x:numFmt numFmtId="201" formatCode="yyyy-mm-dd"/>
    <x:numFmt numFmtId="202" formatCode="d mmmm yyyy"/>
  </x:numFmts>
  <x:fonts count="25">
    <x:font>
      <x:sz val="10"/>
      <x:name val="Arial"/>
    </x:font>
    <x:font>
      <x:sz val="10"/>
      <x:name val="Arial"/>
    </x:font>
    <x:font>
      <x:sz val="10"/>
      <x:name val="Arial"/>
    </x:font>
    <x:font>
      <x:sz val="10"/>
      <x:name val="Arial"/>
    </x:font>
    <x:font>
      <x:sz val="11"/>
      <x:name val="Calibri"/>
    </x:font>
    <x:font>
      <x:b/>
      <x:sz val="20"/>
      <x:color rgb="FFFFFFFF"/>
      <x:name val="Calibri"/>
    </x:font>
    <x:font>
      <x:sz val="10"/>
      <x:color rgb="FF172131"/>
      <x:name val="Calibri"/>
    </x:font>
    <x:font>
      <x:b/>
      <x:sz val="8"/>
      <x:color rgb="FFFFFFFF"/>
      <x:name val="Calibri"/>
    </x:font>
    <x:font>
      <x:b/>
      <x:sz val="18"/>
      <x:color rgb="FF09111F"/>
      <x:name val="Calibri"/>
    </x:font>
    <x:font>
      <x:b/>
      <x:sz val="12"/>
      <x:color rgb="FFFFFFFF"/>
      <x:name val="Calibri"/>
    </x:font>
    <x:font>
      <x:b/>
      <x:sz val="10"/>
      <x:color rgb="FFFFFFFF"/>
      <x:name val="Calibri"/>
    </x:font>
    <x:font>
      <x:sz val="9"/>
      <x:color rgb="FF172131"/>
      <x:name val="Calibri"/>
    </x:font>
    <x:font>
      <x:sz val="9"/>
      <x:color rgb="FF1668D7"/>
      <x:name val="Calibri"/>
    </x:font>
    <x:font>
      <x:b/>
      <x:sz val="11"/>
      <x:color rgb="FFFFFFFF"/>
      <x:name val="Calibri"/>
    </x:font>
    <x:font>
      <x:b/>
      <x:sz val="19"/>
      <x:color rgb="FFFFFFFF"/>
      <x:name val="Calibri"/>
    </x:font>
    <x:font>
      <x:b/>
      <x:sz val="9"/>
      <x:color rgb="FFFFFFFF"/>
      <x:name val="Calibri"/>
    </x:font>
    <x:font>
      <x:sz val="8"/>
      <x:color rgb="FF1668D7"/>
      <x:name val="Calibri"/>
    </x:font>
    <x:font>
      <x:sz val="8"/>
      <x:color rgb="FF172131"/>
      <x:name val="Calibri"/>
    </x:font>
    <x:font>
      <x:b/>
      <x:sz val="8"/>
      <x:color rgb="FF1668D7"/>
      <x:name val="Calibri"/>
    </x:font>
    <x:font>
      <x:b/>
      <x:sz val="8"/>
      <x:color rgb="FF0E8493"/>
      <x:name val="Calibri"/>
    </x:font>
    <x:font>
      <x:b/>
      <x:sz val="8"/>
      <x:color rgb="FF268545"/>
      <x:name val="Calibri"/>
    </x:font>
    <x:font>
      <x:b/>
      <x:sz val="8"/>
      <x:color rgb="FF9F6A09"/>
      <x:name val="Calibri"/>
    </x:font>
    <x:font>
      <x:b/>
      <x:sz val="18"/>
      <x:color rgb="FF000000"/>
      <x:name val="Calibri"/>
    </x:font>
    <x:font>
      <x:sz val="10"/>
      <x:color rgb="FF000000"/>
      <x:name val="Calibri"/>
    </x:font>
    <x:font>
      <x:b/>
      <x:sz val="10"/>
      <x:color rgb="FF172131"/>
      <x:name val="Calibri"/>
    </x:font>
  </x:fonts>
  <x:fills count="15">
    <x:fill>
      <x:patternFill patternType="none"/>
    </x:fill>
    <x:fill>
      <x:patternFill patternType="gray125"/>
    </x:fill>
    <x:fill>
      <x:patternFill patternType="solid">
        <x:fgColor rgb="FF09111F"/>
      </x:patternFill>
    </x:fill>
    <x:fill>
      <x:patternFill patternType="solid">
        <x:fgColor rgb="FFEAF2FD"/>
      </x:patternFill>
    </x:fill>
    <x:fill>
      <x:patternFill patternType="solid">
        <x:fgColor rgb="FFF6F8FB"/>
      </x:patternFill>
    </x:fill>
    <x:fill>
      <x:patternFill patternType="solid">
        <x:fgColor rgb="FF1668D7"/>
      </x:patternFill>
    </x:fill>
    <x:fill>
      <x:patternFill patternType="solid">
        <x:fgColor rgb="FF0E8493"/>
      </x:patternFill>
    </x:fill>
    <x:fill>
      <x:patternFill patternType="solid">
        <x:fgColor rgb="FF268545"/>
      </x:patternFill>
    </x:fill>
    <x:fill>
      <x:patternFill patternType="solid">
        <x:fgColor rgb="FF7749BD"/>
      </x:patternFill>
    </x:fill>
    <x:fill>
      <x:patternFill patternType="solid">
        <x:fgColor rgb="FFFFFFFF"/>
      </x:patternFill>
    </x:fill>
    <x:fill>
      <x:patternFill patternType="solid">
        <x:fgColor rgb="FFE8F5F6"/>
      </x:patternFill>
    </x:fill>
    <x:fill>
      <x:patternFill patternType="solid">
        <x:fgColor rgb="FFEAF6ED"/>
      </x:patternFill>
    </x:fill>
    <x:fill>
      <x:patternFill patternType="solid">
        <x:fgColor rgb="FFFFF4DB"/>
      </x:patternFill>
    </x:fill>
    <x:fill>
      <x:patternFill patternType="solid">
        <x:fgColor rgb="FFEAF2FD"/>
      </x:patternFill>
    </x:fill>
    <x:fill>
      <x:patternFill patternType="solid">
        <x:fgColor rgb="FFEAF2FD"/>
      </x:patternFill>
    </x:fill>
  </x:fills>
  <x:borders count="2">
    <x:border diagonalUp="0" diagonalDown="0"/>
    <x:border diagonalUp="0" diagonalDown="0">
      <x:top style="thin">
        <x:color rgb="FFAFC5D8"/>
      </x:top>
      <x:bottom style="thin">
        <x:color rgb="FFAFC5D8"/>
      </x:bottom>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53">
    <x:xf numFmtId="164" fontId="0" fillId="0" borderId="0" xfId="0" applyFont="0" applyBorder="0" applyAlignment="0">
      <x:alignment horizontal="general" vertical="bottom" wrapText="0"/>
    </x:xf>
    <x:xf numFmtId="164" fontId="5" fillId="2" borderId="0" xfId="20" applyFont="1" applyBorder="1" applyAlignment="1">
      <x:alignment horizontal="left" vertical="center" wrapText="0"/>
    </x:xf>
    <x:xf numFmtId="164" fontId="6" fillId="3" borderId="0" xfId="20" applyFont="1" applyBorder="1" applyAlignment="1">
      <x:alignment horizontal="general" vertical="center" wrapText="1"/>
    </x:xf>
    <x:xf numFmtId="164" fontId="6" fillId="4" borderId="0" xfId="20" applyFont="1" applyBorder="1" applyAlignment="1">
      <x:alignment horizontal="general" vertical="top" wrapText="0"/>
    </x:xf>
    <x:xf numFmtId="164" fontId="7" fillId="5" borderId="0" xfId="20" applyFont="1" applyBorder="1" applyAlignment="1">
      <x:alignment horizontal="left" vertical="center" wrapText="1"/>
    </x:xf>
    <x:xf numFmtId="164" fontId="7" fillId="6" borderId="0" xfId="20" applyFont="1" applyBorder="1" applyAlignment="1">
      <x:alignment horizontal="left" vertical="center" wrapText="1"/>
    </x:xf>
    <x:xf numFmtId="164" fontId="7" fillId="7" borderId="0" xfId="20" applyFont="1" applyBorder="1" applyAlignment="1">
      <x:alignment horizontal="left" vertical="center" wrapText="1"/>
    </x:xf>
    <x:xf numFmtId="164" fontId="7" fillId="8" borderId="0" xfId="20" applyFont="1" applyBorder="1" applyAlignment="1">
      <x:alignment horizontal="left" vertical="center" wrapText="1"/>
    </x:xf>
    <x:xf numFmtId="164" fontId="8" fillId="9" borderId="0" xfId="20" applyFont="1" applyBorder="1" applyAlignment="1">
      <x:alignment horizontal="center" vertical="center" wrapText="0"/>
    </x:xf>
    <x:xf numFmtId="164" fontId="9" fillId="5" borderId="0" xfId="20" applyFont="1" applyBorder="1" applyAlignment="1">
      <x:alignment horizontal="general" vertical="center" wrapText="1"/>
    </x:xf>
    <x:xf numFmtId="164" fontId="10" fillId="6" borderId="0" xfId="20" applyFont="1" applyBorder="1" applyAlignment="1">
      <x:alignment horizontal="left" vertical="center" wrapText="1"/>
    </x:xf>
    <x:xf numFmtId="164" fontId="11" fillId="9" borderId="0" xfId="20" applyFont="1" applyBorder="1" applyAlignment="1">
      <x:alignment horizontal="general" vertical="top" wrapText="1"/>
    </x:xf>
    <x:xf numFmtId="164" fontId="12" fillId="9" borderId="0" xfId="20" applyFont="1" applyBorder="1" applyAlignment="1">
      <x:alignment horizontal="general" vertical="top" wrapText="1"/>
    </x:xf>
    <x:xf numFmtId="164" fontId="13" fillId="5" borderId="0" xfId="20" applyFont="1" applyBorder="1" applyAlignment="1">
      <x:alignment horizontal="general" vertical="center" wrapText="1"/>
    </x:xf>
    <x:xf numFmtId="164" fontId="14" fillId="2" borderId="0" xfId="20" applyFont="1" applyBorder="1" applyAlignment="1">
      <x:alignment horizontal="left" vertical="center" wrapText="0"/>
    </x:xf>
    <x:xf numFmtId="164" fontId="15" fillId="6" borderId="0" xfId="20" applyFont="1" applyBorder="1" applyAlignment="1">
      <x:alignment horizontal="left" vertical="center" wrapText="1"/>
    </x:xf>
    <x:xf numFmtId="164" fontId="16" fillId="9" borderId="0" xfId="20" applyFont="1" applyBorder="1" applyAlignment="1">
      <x:alignment horizontal="general" vertical="top" wrapText="1"/>
    </x:xf>
    <x:xf numFmtId="165" fontId="11" fillId="9" borderId="0" xfId="20" applyFont="1" applyBorder="1" applyAlignment="1">
      <x:alignment horizontal="general" vertical="top" wrapText="1"/>
    </x:xf>
    <x:xf numFmtId="164" fontId="17" fillId="3" borderId="0" xfId="20" applyFont="1" applyBorder="1" applyAlignment="1">
      <x:alignment horizontal="general" vertical="top" wrapText="1"/>
    </x:xf>
    <x:xf numFmtId="164" fontId="18" fillId="3" borderId="0" xfId="20" applyFont="1" applyBorder="1" applyAlignment="1">
      <x:alignment horizontal="general" vertical="top" wrapText="1"/>
    </x:xf>
    <x:xf numFmtId="164" fontId="17" fillId="9" borderId="0" xfId="20" applyFont="1" applyBorder="1" applyAlignment="1">
      <x:alignment horizontal="general" vertical="top" wrapText="1"/>
    </x:xf>
    <x:xf numFmtId="165" fontId="17" fillId="9" borderId="0" xfId="20" applyFont="1" applyBorder="1" applyAlignment="1">
      <x:alignment horizontal="general" vertical="top" wrapText="1"/>
    </x:xf>
    <x:xf numFmtId="166" fontId="17" fillId="9" borderId="0" xfId="20" applyFont="1" applyBorder="1" applyAlignment="1">
      <x:alignment horizontal="general" vertical="top" wrapText="1"/>
    </x:xf>
    <x:xf numFmtId="164" fontId="17" fillId="10" borderId="0" xfId="20" applyFont="1" applyBorder="1" applyAlignment="1">
      <x:alignment horizontal="general" vertical="top" wrapText="1"/>
    </x:xf>
    <x:xf numFmtId="164" fontId="19" fillId="10" borderId="0" xfId="20" applyFont="1" applyBorder="1" applyAlignment="1">
      <x:alignment horizontal="general" vertical="top" wrapText="1"/>
    </x:xf>
    <x:xf numFmtId="164" fontId="17" fillId="11" borderId="0" xfId="20" applyFont="1" applyBorder="1" applyAlignment="1">
      <x:alignment horizontal="general" vertical="top" wrapText="1"/>
    </x:xf>
    <x:xf numFmtId="164" fontId="20" fillId="11" borderId="0" xfId="20" applyFont="1" applyBorder="1" applyAlignment="1">
      <x:alignment horizontal="general" vertical="top" wrapText="1"/>
    </x:xf>
    <x:xf numFmtId="164" fontId="17" fillId="12" borderId="0" xfId="20" applyFont="1" applyBorder="1" applyAlignment="1">
      <x:alignment horizontal="general" vertical="top" wrapText="1"/>
    </x:xf>
    <x:xf numFmtId="164" fontId="21" fillId="12" borderId="0" xfId="20" applyFont="1" applyBorder="1" applyAlignment="1">
      <x:alignment horizontal="general" vertical="top" wrapText="1"/>
    </x:xf>
    <x:xf numFmtId="164" fontId="13" fillId="8" borderId="0" xfId="20" applyFont="1" applyBorder="1" applyAlignment="1">
      <x:alignment horizontal="general" vertical="center" wrapText="1"/>
    </x:xf>
    <x:xf numFmtId="166" fontId="11" fillId="9" borderId="0" xfId="20" applyFont="1" applyBorder="1" applyAlignment="1">
      <x:alignment horizontal="general" vertical="top" wrapText="1"/>
    </x:xf>
    <x:xf numFmtId="167" fontId="11" fillId="9" borderId="0" xfId="20" applyFont="1" applyBorder="1" applyAlignment="1">
      <x:alignment horizontal="general" vertical="top" wrapText="1"/>
    </x:xf>
    <x:xf numFmtId="200" fontId="8" fillId="9" borderId="0" xfId="0" applyNumberFormat="1" applyFont="1" applyFill="1" applyBorder="1" applyAlignment="1">
      <x:alignment horizontal="center" vertical="center" wrapText="0"/>
    </x:xf>
    <x:xf numFmtId="200" fontId="11" fillId="9" borderId="0" xfId="0" applyNumberFormat="1" applyFont="1" applyFill="1" applyBorder="1" applyAlignment="1">
      <x:alignment horizontal="general" vertical="top" wrapText="1"/>
    </x:xf>
    <x:xf numFmtId="200" fontId="17" fillId="9"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1"/>
    </x:xf>
    <x:xf numFmtId="200" fontId="0" fillId="0" borderId="0" xfId="0" applyNumberFormat="1" applyFont="1" applyFill="1" applyBorder="1" applyAlignment="1">
      <x:alignment horizontal="general" vertical="bottom" wrapText="1"/>
    </x:xf>
    <x:xf numFmtId="164" fontId="6" fillId="13" borderId="0" xfId="0" applyNumberFormat="1" applyFont="1" applyFill="1" applyBorder="1" applyAlignment="1">
      <x:alignment horizontal="general" vertical="top" wrapText="0"/>
    </x:xf>
    <x:xf numFmtId="164" fontId="24" fillId="13" borderId="0" xfId="0" applyNumberFormat="1" applyFont="1" applyFill="1" applyBorder="1" applyAlignment="1">
      <x:alignment horizontal="general" vertical="top" wrapText="0"/>
    </x:xf>
    <x:xf numFmtId="164" fontId="24" fillId="13" borderId="1" xfId="0" applyNumberFormat="1" applyFont="1" applyFill="1" applyBorder="1" applyAlignment="1">
      <x:alignment horizontal="general" vertical="top" wrapText="0"/>
    </x:xf>
    <x:xf numFmtId="164" fontId="24" fillId="13" borderId="1" xfId="0" applyNumberFormat="1" applyFont="1" applyFill="1" applyBorder="1" applyAlignment="1">
      <x:alignment horizontal="general" vertical="top" wrapText="1"/>
    </x:xf>
    <x:xf numFmtId="167" fontId="24" fillId="13" borderId="1" xfId="0" applyNumberFormat="1" applyFont="1" applyFill="1" applyBorder="1" applyAlignment="1">
      <x:alignment horizontal="general" vertical="top" wrapText="1"/>
    </x:xf>
    <x:xf numFmtId="201" fontId="24" fillId="13" borderId="1"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bottom" wrapText="0"/>
    </x:xf>
    <x:xf numFmtId="164" fontId="24" fillId="14" borderId="1" xfId="0" applyNumberFormat="1" applyFont="1" applyFill="1" applyBorder="1" applyAlignment="1">
      <x:alignment horizontal="general" vertical="top" wrapText="1"/>
    </x:xf>
    <x:xf numFmtId="167" fontId="24" fillId="14" borderId="1" xfId="0" applyNumberFormat="1" applyFont="1" applyFill="1" applyBorder="1" applyAlignment="1">
      <x:alignment horizontal="general" vertical="top" wrapText="1"/>
    </x:xf>
    <x:xf numFmtId="201" fontId="24" fillId="14" borderId="1" xfId="0" applyNumberFormat="1" applyFont="1" applyFill="1" applyBorder="1" applyAlignment="1">
      <x:alignment horizontal="general" vertical="top" wrapText="1"/>
    </x:xf>
    <x:xf numFmtId="164" fontId="6" fillId="4" borderId="0" xfId="0" applyNumberFormat="1" applyFont="1" applyFill="1" applyBorder="1" applyAlignment="1">
      <x:alignment horizontal="general" vertical="top" wrapText="1"/>
    </x:xf>
    <x:xf numFmtId="202" fontId="8" fillId="9" borderId="0" xfId="0" applyNumberFormat="1" applyFont="1" applyFill="1" applyBorder="1" applyAlignment="1">
      <x:alignment horizontal="center" vertical="center" wrapText="0"/>
    </x:xf>
    <x:xf numFmtId="201" fontId="11" fillId="9" borderId="0"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bottom" wrapText="1"/>
    </x:xf>
    <x:xf numFmtId="201" fontId="17" fillId="9" borderId="0" xfId="0" applyNumberFormat="1" applyFont="1" applyFill="1" applyBorder="1" applyAlignment="1">
      <x:alignment horizontal="general" vertical="top" wrapText="1"/>
    </x:xf>
    <x:xf numFmtId="166" fontId="17" fillId="9" borderId="0" xfId="0" applyNumberFormat="1" applyFont="1" applyFill="1" applyBorder="1" applyAlignment="1">
      <x:alignment horizontal="general" vertical="top" wrapText="1"/>
    </x:xf>
  </x:cellXfs>
  <x:cellStyles count="7">
    <x:cellStyle name="Normal" xfId="0"/>
    <x:cellStyle name="Comma" xfId="15"/>
    <x:cellStyle name="Comma [0]" xfId="16"/>
    <x:cellStyle name="Currency" xfId="17"/>
    <x:cellStyle name="Currency [0]" xfId="18"/>
    <x:cellStyle name="Percent" xfId="19"/>
    <x:cellStyle name="Normal" xfId="20"/>
  </x:cellStyles>
  <x:dxfs count="10">
    <x:dxf>
      <x:fill>
        <x:patternFill>
          <x:bgColor rgb="FF0E8493"/>
        </x:patternFill>
      </x:fill>
    </x:dxf>
    <x:dxf>
      <x:fill>
        <x:patternFill>
          <x:bgColor rgb="FFFFFFFF"/>
        </x:patternFill>
      </x:fill>
    </x:dxf>
    <x:dxf>
      <x:fill>
        <x:patternFill>
          <x:bgColor rgb="FF172131"/>
        </x:patternFill>
      </x:fill>
    </x:dxf>
    <x:dxf>
      <x:fill>
        <x:patternFill>
          <x:bgColor rgb="FF1668D7"/>
        </x:patternFill>
      </x:fill>
    </x:dxf>
    <x:dxf>
      <x:fill>
        <x:patternFill>
          <x:bgColor rgb="FFE8F5F6"/>
        </x:patternFill>
      </x:fill>
    </x:dxf>
    <x:dxf>
      <x:fill>
        <x:patternFill>
          <x:bgColor rgb="FFEAF2FD"/>
        </x:patternFill>
      </x:fill>
    </x:dxf>
    <x:dxf>
      <x:fill>
        <x:patternFill>
          <x:bgColor rgb="FFEAF6ED"/>
        </x:patternFill>
      </x:fill>
    </x:dxf>
    <x:dxf>
      <x:fill>
        <x:patternFill>
          <x:bgColor rgb="FFFFF4DB"/>
        </x:patternFill>
      </x:fill>
    </x:dxf>
    <x:dxf>
      <x:fill>
        <x:patternFill>
          <x:bgColor rgb="FF268545"/>
        </x:patternFill>
      </x:fill>
    </x:dxf>
    <x:dxf>
      <x:fill>
        <x:patternFill>
          <x:bgColor rgb="FF9F6A09"/>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9F6A09"/>
      <x:rgbColor rgb="FF800080"/>
      <x:rgbColor rgb="FF0E8493"/>
      <x:rgbColor rgb="FFCCCCCC"/>
      <x:rgbColor rgb="FF8B8B8B"/>
      <x:rgbColor rgb="FF9999FF"/>
      <x:rgbColor rgb="FF993366"/>
      <x:rgbColor rgb="FFFFF4DB"/>
      <x:rgbColor rgb="FFE8F5F6"/>
      <x:rgbColor rgb="FF660066"/>
      <x:rgbColor rgb="FFFF8080"/>
      <x:rgbColor rgb="FF1668D7"/>
      <x:rgbColor rgb="FFD9D9D9"/>
      <x:rgbColor rgb="FF000080"/>
      <x:rgbColor rgb="FFFF00FF"/>
      <x:rgbColor rgb="FFFFFF00"/>
      <x:rgbColor rgb="FF00FFFF"/>
      <x:rgbColor rgb="FF800080"/>
      <x:rgbColor rgb="FF800000"/>
      <x:rgbColor rgb="FF156082"/>
      <x:rgbColor rgb="FF0000FF"/>
      <x:rgbColor rgb="FF00CCFF"/>
      <x:rgbColor rgb="FFEAF6ED"/>
      <x:rgbColor rgb="FFEAF2FD"/>
      <x:rgbColor rgb="FFF6F8FB"/>
      <x:rgbColor rgb="FF99CCFF"/>
      <x:rgbColor rgb="FFFF99CC"/>
      <x:rgbColor rgb="FFCC99FF"/>
      <x:rgbColor rgb="FFFFCC99"/>
      <x:rgbColor rgb="FF3366FF"/>
      <x:rgbColor rgb="FF33CCCC"/>
      <x:rgbColor rgb="FF99CC00"/>
      <x:rgbColor rgb="FFFFCC00"/>
      <x:rgbColor rgb="FFFF9900"/>
      <x:rgbColor rgb="FFFF6600"/>
      <x:rgbColor rgb="FF7749BD"/>
      <x:rgbColor rgb="FF969696"/>
      <x:rgbColor rgb="FF003366"/>
      <x:rgbColor rgb="FF268545"/>
      <x:rgbColor rgb="FF09111F"/>
      <x:rgbColor rgb="FF333300"/>
      <x:rgbColor rgb="FF993300"/>
      <x:rgbColor rgb="FF993366"/>
      <x:rgbColor rgb="FF333399"/>
      <x:rgbColor rgb="FF172131"/>
    </x:indexedColors>
  </x:colors>
</x:styleSheet>
</file>

<file path=xl/_rels/workbook.xml.rels>&#65279;<?xml version="1.0" encoding="utf-8"?><Relationships xmlns="http://schemas.openxmlformats.org/package/2006/relationships"><Relationship Type="http://schemas.openxmlformats.org/officeDocument/2006/relationships/styles" Target="/xl/styles.xml" Id="R940ebf21486843c2" /><Relationship Type="http://schemas.openxmlformats.org/officeDocument/2006/relationships/theme" Target="/xl/theme/theme1.xml" Id="Rd6bce3fd24b94f09" /><Relationship Type="http://schemas.openxmlformats.org/officeDocument/2006/relationships/sharedStrings" Target="/xl/sharedStrings.xml" Id="R581fc337c4964b18" /><Relationship Type="http://schemas.openxmlformats.org/officeDocument/2006/relationships/worksheet" Target="/xl/worksheets/sheet1.xml" Id="Rba610381a1b547d9" /><Relationship Type="http://schemas.openxmlformats.org/officeDocument/2006/relationships/worksheet" Target="/xl/worksheets/sheet2.xml" Id="R7c8bb0534ca84dab" /><Relationship Type="http://schemas.openxmlformats.org/officeDocument/2006/relationships/worksheet" Target="/xl/worksheets/sheet3.xml" Id="Re73b76cedef54625" /><Relationship Type="http://schemas.openxmlformats.org/officeDocument/2006/relationships/worksheet" Target="/xl/worksheets/sheet4.xml" Id="Rd647fd84d5c24ab8" /><Relationship Type="http://schemas.openxmlformats.org/officeDocument/2006/relationships/worksheet" Target="/xl/worksheets/sheet5.xml" Id="R2c280166000d47f0" /><Relationship Type="http://schemas.openxmlformats.org/officeDocument/2006/relationships/worksheet" Target="/xl/worksheets/sheet6.xml" Id="Rfc4b293cd4c4401c" /><Relationship Type="http://schemas.openxmlformats.org/officeDocument/2006/relationships/worksheet" Target="/xl/worksheets/sheet7.xml" Id="R26c05f49ee4543b0" /><Relationship Type="http://schemas.openxmlformats.org/officeDocument/2006/relationships/worksheet" Target="/xl/worksheets/sheet8.xml" Id="Ra3ebd1be018647ca" /><Relationship Type="http://schemas.openxmlformats.org/officeDocument/2006/relationships/worksheet" Target="/xl/worksheets/sheet9.xml" Id="Rf2167dd5d4884200" /><Relationship Type="http://schemas.openxmlformats.org/officeDocument/2006/relationships/worksheet" Target="/xl/worksheets/sheet10.xml" Id="Rfbb6ec89ac5e4428"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e3e82ab49442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a:solidFill>
                  <a:srgbClr val="000000"/>
                </a:solidFill>
                <a:latin typeface="Calibri"/>
                <a:ea typeface="Calibri"/>
                <a:cs typeface="Calibri"/>
              </a:rPr>
              <a:t>Canonical repositories by engineering ecosystem</a:t>
            </a:r>
          </a:p>
        </c:rich>
      </c:tx>
      <c:txPr>
        <a:bodyPr xmlns:a="http://schemas.openxmlformats.org/drawingml/2006/main" anchorCtr="1"/>
        <a:lstStyle xmlns:a="http://schemas.openxmlformats.org/drawingml/2006/main"/>
        <a:p xmlns:a="http://schemas.openxmlformats.org/drawingml/2006/main">
          <a:pPr>
            <a:defRPr sz="1800" b="1" u="none">
              <a:solidFill>
                <a:srgbClr val="000000"/>
              </a:solidFill>
              <a:latin typeface="Calibri"/>
              <a:ea typeface="Calibri"/>
              <a:cs typeface="Calibri"/>
            </a:defRPr>
          </a:pPr>
        </a:p>
      </c:txPr>
    </c:title>
    <c:autoTitleDeleted val="0"/>
    <c:plotArea>
      <c:barChart>
        <c:barDir val="col"/>
        <c:grouping val="clustered"/>
        <c:varyColors val="0"/>
        <c:ser>
          <c:idx val="0"/>
          <c:order val="0"/>
          <c:tx>
            <c:v>Canonical repositories</c:v>
          </c:tx>
          <c:cat>
            <c:strRef>
              <c:f>'Ecosystem Summary'!$A$6:$A$20</c:f>
              <c:strCache>
                <c:ptCount val="0"/>
              </c:strCache>
            </c:strRef>
          </c:cat>
          <c:val>
            <c:numRef>
              <c:f>'Ecosystem Summary'!$B$6:$B$20</c:f>
              <c:numCache>
                <c:formatCode>#,##0</c:formatCode>
                <c:ptCount val="0"/>
              </c:numCache>
            </c:numRef>
          </c:val>
        </c:ser>
        <c:gapWidth val="150"/>
        <c:overlap val="0"/>
        <c:axId val="15502070"/>
        <c:axId val="28093727"/>
      </c:barChart>
      <c:catAx>
        <c:axId val="15502070"/>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u="none">
                <a:solidFill>
                  <a:srgbClr val="000000"/>
                </a:solidFill>
                <a:latin typeface="Calibri"/>
                <a:ea typeface="Calibri"/>
                <a:cs typeface="Calibri"/>
              </a:defRPr>
            </a:pPr>
          </a:p>
        </c:txPr>
        <c:crossAx val="28093727"/>
        <c:crosses val="autoZero"/>
      </c:catAx>
      <c:valAx>
        <c:axId val="28093727"/>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u="none">
                <a:solidFill>
                  <a:srgbClr val="000000"/>
                </a:solidFill>
                <a:latin typeface="Calibri"/>
                <a:ea typeface="Calibri"/>
                <a:cs typeface="Calibri"/>
              </a:defRPr>
            </a:pPr>
          </a:p>
        </c:txPr>
        <c:crossAx val="15502070"/>
        <c:crosses val="autoZero"/>
        <c:crossBetween val="between"/>
      </c:valAx>
      <c:spPr>
        <a:solidFill xmlns:a="http://schemas.openxmlformats.org/drawingml/2006/main">
          <a:srgbClr val="FFFFFF"/>
        </a:solidFill>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15</xdr:col>
      <xdr:colOff>0</xdr:colOff>
      <xdr:row>3</xdr:row>
      <xdr:rowOff>0</xdr:rowOff>
    </xdr:from>
    <xdr:to>
      <xdr:col>22</xdr:col>
      <xdr:colOff>687600</xdr:colOff>
      <xdr:row>21</xdr:row>
      <xdr:rowOff>190080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e3e82ab49442ca"/>
        </a:graphicData>
      </a:graphic>
    </xdr:graphicFrame>
    <xdr:clientData/>
  </xdr:twoCellAnchor>
</xdr:wsDr>
</file>

<file path=xl/tables/table1.xml><?xml version="1.0" encoding="utf-8"?>
<x:table xmlns:x="http://schemas.openxmlformats.org/spreadsheetml/2006/main" id="8" name="FlagshipEvidenceTable" displayName="FlagshipEvidenceTable" ref="A4:L17" headerRowCount="1" totalsRowCount="0" totalsRowShown="0">
  <x:tableColumns count="12">
    <x:tableColumn id="1" name="Order"/>
    <x:tableColumn id="2" name="Repository"/>
    <x:tableColumn id="3" name="Ecosystem"/>
    <x:tableColumn id="4" name="Current verified scope"/>
    <x:tableColumn id="5" name="Verified role"/>
    <x:tableColumn id="6" name="Technology signals"/>
    <x:tableColumn id="7" name="Key evidence"/>
    <x:tableColumn id="8" name="CV significance"/>
    <x:tableColumn id="9" name="Evidence limits"/>
    <x:tableColumn id="10" name="Repository URL"/>
    <x:tableColumn id="11" name="Evidence URL"/>
    <x:tableColumn id="12" name="Reviewed to"/>
  </x:tableColumns>
  <x:tableStyleInfo name="TableStyleMedium2" showFirstColumn="0" showLastColumn="0" showRowStripes="1" showColumnStripes="0"/>
</x:table>
</file>

<file path=xl/tables/table2.xml><?xml version="1.0" encoding="utf-8"?>
<x:table xmlns:x="http://schemas.openxmlformats.org/spreadsheetml/2006/main" id="9" name="CanonicalRepositoriesTable" displayName="CanonicalRepositoriesTable" ref="A4:X112" headerRowCount="1" totalsRowCount="0" totalsRowShown="0">
  <x:tableColumns count="24">
    <x:tableColumn id="1" name="Rank"/>
    <x:tableColumn id="2" name="Tier"/>
    <x:tableColumn id="3" name="Ecosystem"/>
    <x:tableColumn id="4" name="Repository"/>
    <x:tableColumn id="5" name="Owner"/>
    <x:tableColumn id="6" name="First attributable date"/>
    <x:tableColumn id="7" name="Latest evidence date"/>
    <x:tableColumn id="8" name="Activity / status"/>
    <x:tableColumn id="9" name="Verified commits"/>
    <x:tableColumn id="10" name="Active days"/>
    <x:tableColumn id="11" name="Active months"/>
    <x:tableColumn id="12" name="Additions"/>
    <x:tableColumn id="13" name="Deletions"/>
    <x:tableColumn id="14" name="Changed lines"/>
    <x:tableColumn id="15" name="Unique paths"/>
    <x:tableColumn id="16" name="Technology signals"/>
    <x:tableColumn id="17" name="Verified role"/>
    <x:tableColumn id="18" name="Professional assessment"/>
    <x:tableColumn id="19" name="Purpose"/>
    <x:tableColumn id="20" name="Professional significance"/>
    <x:tableColumn id="21" name="Metric / update note"/>
    <x:tableColumn id="22" name="Repository URL"/>
    <x:tableColumn id="23" name="Evidence URL"/>
    <x:tableColumn id="24" name="Evidence basis"/>
  </x:tableColumns>
  <x:tableStyleInfo name="TableStyleMedium2" showFirstColumn="0" showLastColumn="0" showRowStripes="1" showColumnStripes="0"/>
</x:table>
</file>

<file path=xl/tables/table3.xml><?xml version="1.0" encoding="utf-8"?>
<x:table xmlns:x="http://schemas.openxmlformats.org/spreadsheetml/2006/main" id="4" name="ProfessionalRecordTable" displayName="ProfessionalRecordTable" ref="A4:G37" headerRowCount="1" totalsRowCount="0" totalsRowShown="0">
  <x:tableColumns count="7">
    <x:tableColumn id="1" name="Section"/>
    <x:tableColumn id="2" name="Evidence / authority"/>
    <x:tableColumn id="3" name="Recommended CV treatment"/>
    <x:tableColumn id="4" name="Evidence type"/>
    <x:tableColumn id="5" name="Verification status"/>
    <x:tableColumn id="6" name="Source / URL"/>
    <x:tableColumn id="7" name="Confidentiality / editorial note"/>
  </x:tableColumns>
</x:table>
</file>

<file path=xl/tables/table4.xml><?xml version="1.0" encoding="utf-8"?>
<x:table xmlns:x="http://schemas.openxmlformats.org/spreadsheetml/2006/main" id="5" name="SourceRegisterTable" displayName="SourceRegisterTable" ref="A4:F39" headerRowCount="1" totalsRowCount="0" totalsRowShown="0">
  <x:tableColumns count="6">
    <x:tableColumn id="1" name="Category"/>
    <x:tableColumn id="2" name="Source"/>
    <x:tableColumn id="3" name="Supports"/>
    <x:tableColumn id="4" name="URL / file"/>
    <x:tableColumn id="5" name="Review date"/>
    <x:tableColumn id="6" name="Notes"/>
  </x:tableColumns>
</x:table>
</file>

<file path=xl/tables/table5.xml><?xml version="1.0" encoding="utf-8"?>
<x:table xmlns:x="http://schemas.openxmlformats.org/spreadsheetml/2006/main" id="2" name="EvidenceChangeLogTable" displayName="EvidenceChangeLogTable" ref="A4:D18" headerRowCount="1" totalsRowCount="0" totalsRowShown="0">
  <x:tableColumns count="4">
    <x:tableColumn id="1" name="Date"/>
    <x:tableColumn id="2" name="Scope"/>
    <x:tableColumn id="3" name="Change"/>
    <x:tableColumn id="4" name="Result"/>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cbe1a928c641dc" /></Relationships>
</file>

<file path=xl/worksheets/_rels/sheet3.xml.rels>&#65279;<?xml version="1.0" encoding="utf-8"?><Relationships xmlns="http://schemas.openxmlformats.org/package/2006/relationships"><Relationship Type="http://schemas.openxmlformats.org/officeDocument/2006/relationships/table" Target="/xl/tables/table2.xml" Id="Re2f20b3fc0074c23" /></Relationships>
</file>

<file path=xl/worksheets/_rels/sheet4.xml.rels>&#65279;<?xml version="1.0" encoding="utf-8"?><Relationships xmlns="http://schemas.openxmlformats.org/package/2006/relationships"><Relationship Type="http://schemas.openxmlformats.org/officeDocument/2006/relationships/drawing" Target="/xl/drawings/drawing1.xml" Id="Rd118d1d214594143" /></Relationships>
</file>

<file path=xl/worksheets/_rels/sheet5.xml.rels>&#65279;<?xml version="1.0" encoding="utf-8"?><Relationships xmlns="http://schemas.openxmlformats.org/package/2006/relationships"><Relationship Type="http://schemas.openxmlformats.org/officeDocument/2006/relationships/table" Target="/xl/tables/table3.xml" Id="R971eaab343e94330" /></Relationships>
</file>

<file path=xl/worksheets/_rels/sheet8.xml.rels>&#65279;<?xml version="1.0" encoding="utf-8"?><Relationships xmlns="http://schemas.openxmlformats.org/package/2006/relationships"><Relationship Type="http://schemas.openxmlformats.org/officeDocument/2006/relationships/table" Target="/xl/tables/table4.xml" Id="R865394dfe9d34b23" /></Relationships>
</file>

<file path=xl/worksheets/_rels/sheet10.xml.rels>&#65279;<?xml version="1.0" encoding="utf-8"?><Relationships xmlns="http://schemas.openxmlformats.org/package/2006/relationships"><Relationship Type="http://schemas.openxmlformats.org/officeDocument/2006/relationships/table" Target="/xl/tables/table5.xml" Id="R529f40e65ce14fd3" /></Relationships>
</file>

<file path=xl/worksheets/sheet1.xml><?xml version="1.0" encoding="utf-8"?>
<x:worksheet xmlns:x="http://schemas.openxmlformats.org/spreadsheetml/2006/main">
  <x:sheetViews>
    <x:sheetView showGridLines="1" workbookViewId="0"/>
  </x:sheetViews>
  <x:sheetFormatPr defaultColWidth="9.7578125" defaultRowHeight="15"/>
  <x:cols>
    <x:col min="1" max="1" width="5.670000076293945" hidden="0" customWidth="1"/>
    <x:col min="2" max="2" width="35.189998626708984" hidden="0" customWidth="1"/>
    <x:col min="3" max="3" width="28.3799991607666" hidden="0" customWidth="1"/>
    <x:col min="4" max="4" width="48.810001373291016" hidden="0" customWidth="1"/>
    <x:col min="5" max="5" width="39.72999954223633" hidden="0" customWidth="1"/>
    <x:col min="6" max="6" width="64.69999694824219" hidden="0" customWidth="1"/>
    <x:col min="7" max="7" width="48.810001373291016" hidden="0" customWidth="1"/>
  </x:cols>
  <x:sheetData>
    <x:row r="1" ht="34" hidden="0" customHeight="1">
      <x:c r="A1" s="1" t="s">
        <x:v>0</x:v>
      </x:c>
      <x:c r="B1" s="1"/>
      <x:c r="C1" s="1"/>
      <x:c r="D1" s="1"/>
      <x:c r="E1" s="1"/>
      <x:c r="F1" s="1"/>
      <x:c r="G1" s="1"/>
    </x:row>
    <x:row r="2" ht="32" hidden="0" customHeight="1">
      <x:c r="A2" s="2" t="str">
        <x:v>Decision-ready authority for CV composition. Forks, duplicate code histories, and deprecated presentation lineages are removed; prominent repositories and current 2026 engineering evidence are presented first. Public-source freshness reviewed to 13 August 2026.</x:v>
      </x:c>
      <x:c r="B2" s="2"/>
      <x:c r="C2" s="2"/>
      <x:c r="D2" s="2"/>
      <x:c r="E2" s="2"/>
      <x:c r="F2" s="2"/>
      <x:c r="G2" s="2"/>
    </x:row>
    <x:row r="3" ht="15" hidden="0">
      <x:c r="A3" s="3"/>
      <x:c r="B3" s="3"/>
      <x:c r="C3" s="3"/>
      <x:c r="D3" s="3"/>
      <x:c r="E3" s="3"/>
      <x:c r="F3" s="3"/>
      <x:c r="G3" s="3"/>
    </x:row>
    <x:row r="4" ht="28" hidden="0" customHeight="1">
      <x:c r="A4" s="4" t="s">
        <x:v>1</x:v>
      </x:c>
      <x:c r="B4" s="4"/>
      <x:c r="C4" s="5" t="s">
        <x:v>2</x:v>
      </x:c>
      <x:c r="D4" s="5"/>
      <x:c r="E4" s="6" t="s">
        <x:v>3</x:v>
      </x:c>
      <x:c r="F4" s="6"/>
      <x:c r="G4" s="7" t="s">
        <x:v>4</x:v>
      </x:c>
    </x:row>
    <x:row r="5" ht="28" hidden="0" customHeight="1">
      <x:c r="A5" s="8" t="n">
        <x:v>108</x:v>
      </x:c>
      <x:c r="B5" s="8"/>
      <x:c r="C5" s="8" t="n">
        <x:v>0</x:v>
      </x:c>
      <x:c r="D5" s="8"/>
      <x:c r="E5" s="8" t="n">
        <x:v>5</x:v>
      </x:c>
      <x:c r="F5" s="8"/>
      <x:c r="G5" s="48" t="n">
        <x:v>46247</x:v>
      </x:c>
    </x:row>
    <x:row r="6" ht="28" hidden="0" customHeight="1">
      <x:c r="A6" s="8"/>
      <x:c r="B6" s="8"/>
      <x:c r="C6" s="8"/>
      <x:c r="D6" s="8"/>
      <x:c r="E6" s="8"/>
      <x:c r="F6" s="8"/>
      <x:c r="G6" s="8"/>
    </x:row>
    <x:row r="7" ht="15" hidden="0">
      <x:c r="A7" s="3"/>
      <x:c r="B7" s="3"/>
      <x:c r="C7" s="3"/>
      <x:c r="D7" s="3"/>
      <x:c r="E7" s="3"/>
      <x:c r="F7" s="3"/>
      <x:c r="G7" s="3"/>
    </x:row>
    <x:row r="8" ht="26" hidden="0" customHeight="1">
      <x:c r="A8" s="9" t="str">
        <x:v>13 flagship engineering records — selected for immediate CV use</x:v>
      </x:c>
      <x:c r="B8" s="9"/>
      <x:c r="C8" s="9"/>
      <x:c r="D8" s="9"/>
      <x:c r="E8" s="9"/>
      <x:c r="F8" s="9"/>
      <x:c r="G8" s="9"/>
    </x:row>
    <x:row r="9" ht="34" hidden="0" customHeight="1">
      <x:c r="A9" s="10" t="s">
        <x:v>5</x:v>
      </x:c>
      <x:c r="B9" s="10" t="s">
        <x:v>6</x:v>
      </x:c>
      <x:c r="C9" s="10" t="s">
        <x:v>7</x:v>
      </x:c>
      <x:c r="D9" s="10" t="s">
        <x:v>8</x:v>
      </x:c>
      <x:c r="E9" s="10" t="s">
        <x:v>9</x:v>
      </x:c>
      <x:c r="F9" s="10" t="s">
        <x:v>10</x:v>
      </x:c>
      <x:c r="G9" s="10" t="s">
        <x:v>11</x:v>
      </x:c>
    </x:row>
    <x:row r="10" ht="88" hidden="0" customHeight="1">
      <x:c r="A10" s="11" t="n">
        <x:v>1</x:v>
      </x:c>
      <x:c r="B10" s="11" t="str">
        <x:v>joomengine/Joomla-Component-Builder</x:v>
      </x:c>
      <x:c r="C10" s="11" t="str">
        <x:v>Joomla Component Builder &amp; JoomEngine</x:v>
      </x:c>
      <x:c r="D10" s="11" t="str">
        <x:v>959 attributable commits and 7.75M recorded changed lines in the dated identity-aware audit; public activity current through May 2026.</x:v>
      </x:c>
      <x:c r="E10" s="11" t="str">
        <x:v>Founder, principal architect, lead developer and long-term maintainer</x:v>
      </x:c>
      <x:c r="F10" s="11" t="str">
        <x:v>Enables developers to model, compile, maintain, and distribute complete Joomla extensions across several CMS generations; this is the central platform behind much of the surrounding portfolio.</x:v>
      </x:c>
      <x:c r="G10" s="12" t="str">
        <x:v>https://github.com/joomengine/Joomla-Component-Builder</x:v>
      </x:c>
    </x:row>
    <x:row r="11" ht="88" hidden="0" customHeight="1">
      <x:c r="A11" s="11" t="n">
        <x:v>2</x:v>
      </x:c>
      <x:c r="B11" s="11" t="str">
        <x:v>joomengine/joomla-mcp</x:v>
      </x:c>
      <x:c r="C11" s="11" t="str">
        <x:v>JoomEngine AI / MCP</x:v>
      </x:c>
      <x:c r="D11" s="11" t="str">
        <x:v>83 commits in the complete reviewed history; public @joomengine/joomla-mcp 0.7.0 package; 236 Joomla 6.1 Web Services route templates across 36 resource bases.</x:v>
      </x:c>
      <x:c r="E11" s="11" t="str">
        <x:v>Project architect, principal implementer and maintainer</x:v>
      </x:c>
      <x:c r="F11" s="11" t="str">
        <x:v>Extends Joomla into modern AI and agent workflows through a source-backed semantic catalogue, guarded writes, Joomla API and native-companion transports, live validation, packaging and deployment foundations. The repository catalogues all 236 Joomla 6.1 core Web Services route templates while explicitly retaining production-certification gates.</x:v>
      </x:c>
      <x:c r="G11" s="12" t="str">
        <x:v>https://github.com/joomengine/joomla-mcp</x:v>
      </x:c>
    </x:row>
    <x:row r="12" ht="88" hidden="0" customHeight="1">
      <x:c r="A12" s="11" t="n">
        <x:v>3</x:v>
      </x:c>
      <x:c r="B12" s="11" t="str">
        <x:v>octoleo/octojoom</x:v>
      </x:c>
      <x:c r="C12" s="11" t="str">
        <x:v>OctoLeo Automation &amp; Deployment</x:v>
      </x:c>
      <x:c r="D12" s="11" t="str">
        <x:v>71 authored commits, approximately 6,573 lines of Bash across 175 functions, with public evidence from May 2021 to February 2026.</x:v>
      </x:c>
      <x:c r="E12" s="11" t="str">
        <x:v>Creator, principal Bash engineer and long-term maintainer</x:v>
      </x:c>
      <x:c r="F12" s="11" t="str">
        <x:v>Demonstrates advanced Bash architecture, container orchestration, networking, certificate automation, persistent-data lifecycle, migration and operator-focused systems engineering.</x:v>
      </x:c>
      <x:c r="G12" s="12" t="str">
        <x:v>https://github.com/octoleo/octojoom</x:v>
      </x:c>
    </x:row>
    <x:row r="13" ht="88" hidden="0" customHeight="1">
      <x:c r="A13" s="11" t="n">
        <x:v>4</x:v>
      </x:c>
      <x:c r="B13" s="11" t="str">
        <x:v>octoleo/joomengine</x:v>
      </x:c>
      <x:c r="C13" s="11" t="str">
        <x:v>OctoLeo Automation &amp; Deployment</x:v>
      </x:c>
      <x:c r="D13" s="11" t="str">
        <x:v>Hash-gated release discovery, generated manifests, tag leadership and automated container publication are documented in current source.</x:v>
      </x:c>
      <x:c r="E13" s="11" t="str">
        <x:v>Creator, lead architect and maintainer</x:v>
      </x:c>
      <x:c r="F13" s="11" t="str">
        <x:v>Automates release discovery, hash verification, Dockerfile generation, tag leadership, machine-readable manifests and image publication without hiding the build logic in CI YAML.</x:v>
      </x:c>
      <x:c r="G13" s="12" t="str">
        <x:v>https://github.com/octoleo/joomengine</x:v>
      </x:c>
    </x:row>
    <x:row r="14" ht="88" hidden="0" customHeight="1">
      <x:c r="A14" s="11" t="n">
        <x:v>5</x:v>
      </x:c>
      <x:c r="B14" s="11" t="str">
        <x:v>getbible/librarian</x:v>
      </x:c>
      <x:c r="C14" s="11" t="str">
        <x:v>GetBible Scripture Platform</x:v>
      </x:c>
      <x:c r="D14" s="11" t="str">
        <x:v>33 commits in the current reviewed history; release gates, caching, API integration and operations documentation were source-reviewed through July 2026.</x:v>
      </x:c>
      <x:c r="E14" s="11" t="str">
        <x:v>Original author, principal architect and maintainer</x:v>
      </x:c>
      <x:c r="F14" s="11" t="str">
        <x:v>Provides reusable reference and search contracts, checksum-verified bounded caches, multi-worker operations, PyPI distribution, and separate Query/Search HTTP service integration.</x:v>
      </x:c>
      <x:c r="G14" s="12" t="str">
        <x:v>https://github.com/getbible/librarian</x:v>
      </x:c>
    </x:row>
    <x:row r="15" ht="88" hidden="0" customHeight="1">
      <x:c r="A15" s="11" t="n">
        <x:v>6</x:v>
      </x:c>
      <x:c r="B15" s="11" t="str">
        <x:v>Kumwe/cms</x:v>
      </x:c>
      <x:c r="C15" s="11" t="str">
        <x:v>Kumwe CMS &amp; Business Platform</x:v>
      </x:c>
      <x:c r="D15" s="11" t="str">
        <x:v>The 13 August 2026 master snapshot contains 331 attributable commits across 2,054 unique paths and documents a working CMS and business runtime with governed content, typed definitions, generated administrator and portal surfaces, REST/OpenAPI, CLI, MCP, signed extensions, durable automation, and three supported SQL engines.</x:v>
      </x:c>
      <x:c r="E15" s="11" t="str">
        <x:v>Principal architect, lead implementer and maintainer</x:v>
      </x:c>
      <x:c r="F15" s="11" t="str">
        <x:v>Demonstrates a coherent application platform spanning content workflows, typed business definitions and records, authorization and approvals, signed extensions, portable persistence, generated interfaces, events, reports, integration tooling, and production operations.</x:v>
      </x:c>
      <x:c r="G15" s="12" t="str">
        <x:v>https://github.com/kumwe/cms</x:v>
      </x:c>
    </x:row>
    <x:row r="16" ht="88" hidden="0" customHeight="1">
      <x:c r="A16" s="11" t="n">
        <x:v>7</x:v>
      </x:c>
      <x:c r="B16" s="11" t="str">
        <x:v>joomla-docker/docker-joomla</x:v>
      </x:c>
      <x:c r="C16" s="11" t="str">
        <x:v>Official Joomla Container Engineering</x:v>
      </x:c>
      <x:c r="D16" s="11" t="str">
        <x:v>185 attributable commits and 154,396 recorded changed lines in the dated audit; public activity current through July 2026.</x:v>
      </x:c>
      <x:c r="E16" s="11" t="str">
        <x:v>Official Joomla Docker maintainer and senior contributor</x:v>
      </x:c>
      <x:c r="F16" s="11" t="str">
        <x:v>Contributes directly to the official container distribution path used to run Joomla across supported PHP and web-server variants.</x:v>
      </x:c>
      <x:c r="G16" s="12" t="str">
        <x:v>https://github.com/joomla-docker/docker-joomla</x:v>
      </x:c>
    </x:row>
    <x:row r="17" ht="88" hidden="0" customHeight="1">
      <x:c r="A17" s="11" t="n">
        <x:v>8</x:v>
      </x:c>
      <x:c r="B17" s="11" t="str">
        <x:v>getbible/robot</x:v>
      </x:c>
      <x:c r="C17" s="11" t="str">
        <x:v>GetBible Scripture Platform</x:v>
      </x:c>
      <x:c r="D17" s="11" t="str">
        <x:v>Current source through 29 July 2026 includes Robot 2.1.0 images, compact and full-screen reader navigation, translation synchronisation, accessibility-aware naming and browser regression coverage.</x:v>
      </x:c>
      <x:c r="E17" s="11" t="str">
        <x:v>Project architect, principal implementer and maintainer</x:v>
      </x:c>
      <x:c r="F17" s="11" t="str">
        <x:v>Demonstrates public-service reliability, hostile-input boundaries, asynchronous Python, signed web-app authorization, accessible responsive interaction, browser regression testing, Docker/Compose distribution, and operational hardening.</x:v>
      </x:c>
      <x:c r="G17" s="12" t="str">
        <x:v>https://github.com/getbible/robot</x:v>
      </x:c>
    </x:row>
    <x:row r="18" ht="88" hidden="0" customHeight="1">
      <x:c r="A18" s="11" t="n">
        <x:v>9</x:v>
      </x:c>
      <x:c r="B18" s="11" t="str">
        <x:v>getbible/sword</x:v>
      </x:c>
      <x:c r="C18" s="11" t="str">
        <x:v>GetBible Scripture Platform</x:v>
      </x:c>
      <x:c r="D18" s="11" t="str">
        <x:v>41 commits in the exact reviewed history, including C/Zend integration, PIE packaging, PHPT tests, pinned native dependencies and reproducible golden evidence.</x:v>
      </x:c>
      <x:c r="E18" s="11" t="str">
        <x:v>Principal architect, native-integration engineer and maintainer</x:v>
      </x:c>
      <x:c r="F18" s="11" t="str">
        <x:v>Demonstrates C/C++ and Zend/PHP extension work, deterministic dependency pinning, PIE packaging, streamed APIs, PHPT coverage, architecture documentation and reproducible golden release evidence.</x:v>
      </x:c>
      <x:c r="G18" s="12" t="str">
        <x:v>https://github.com/getbible/sword</x:v>
      </x:c>
    </x:row>
    <x:row r="19" ht="88" hidden="0" customHeight="1">
      <x:c r="A19" s="11" t="n">
        <x:v>10</x:v>
      </x:c>
      <x:c r="B19" s="11" t="str">
        <x:v>getbible/scripture</x:v>
      </x:c>
      <x:c r="C19" s="11" t="str">
        <x:v>GetBible Scripture Platform</x:v>
      </x:c>
      <x:c r="D19" s="11" t="str">
        <x:v>23 commits in the exact reviewed history; source includes snapshots, bounded locks, refresh state, dependency injection, console commands and Joomla scheduled-task integration.</x:v>
      </x:c>
      <x:c r="E19" s="11" t="str">
        <x:v>Principal application-layer architect and maintainer</x:v>
      </x:c>
      <x:c r="F19" s="11" t="str">
        <x:v>Adds contract validation, immutable snapshots, bounded locking, durable refresh state, console commands and Joomla scheduled-task integration without loading an entire Bible graph into each PHP process.</x:v>
      </x:c>
      <x:c r="G19" s="12" t="str">
        <x:v>https://github.com/getbible/scripture</x:v>
      </x:c>
    </x:row>
    <x:row r="20" ht="88" hidden="0" customHeight="1">
      <x:c r="A20" s="11" t="n">
        <x:v>11</x:v>
      </x:c>
      <x:c r="B20" s="11" t="str">
        <x:v>vast-development-method/opencode-platform</x:v>
      </x:c>
      <x:c r="C20" s="11" t="str">
        <x:v>VDM Platforms &amp; Applied AI</x:v>
      </x:c>
      <x:c r="D20" s="11" t="str">
        <x:v>41 default-branch commits in the complete reviewed history; six Ubuntu 24.04 image variants with manifest-owned policy, build limits, provenance and MCP integration.</x:v>
      </x:c>
      <x:c r="E20" s="11" t="str">
        <x:v>Platform architect, principal implementer and maintainer</x:v>
      </x:c>
      <x:c r="F20" s="11" t="str">
        <x:v>Demonstrates secure agent-platform architecture across image generation, network policy, runtime credentials, SBOM/provenance, release promotion and Joomla MCP integration in PHP/full images.</x:v>
      </x:c>
      <x:c r="G20" s="12" t="str">
        <x:v>https://github.com/vast-development-method/opencode-platform</x:v>
      </x:c>
    </x:row>
    <x:row r="21" ht="88" hidden="0" customHeight="1">
      <x:c r="A21" s="11" t="n">
        <x:v>12</x:v>
      </x:c>
      <x:c r="B21" s="11" t="str">
        <x:v>vast-development-method/colibri-setup</x:v>
      </x:c>
      <x:c r="C21" s="11" t="str">
        <x:v>VDM Platforms &amp; Applied AI</x:v>
      </x:c>
      <x:c r="D21" s="11" t="str">
        <x:v>53 default-branch commits in the complete reviewed history; current source covers an 80% available-RAM ceiling, CPU-only enforcement, checksum repair and lifecycle tests.</x:v>
      </x:c>
      <x:c r="E21" s="11" t="str">
        <x:v>Systems architect, principal implementer and maintainer</x:v>
      </x:c>
      <x:c r="F21" s="11" t="str">
        <x:v>Shows resource-aware local-model deployment, resumable large-model acquisition, checksum verification and repair, multi-NVMe operation, systemd lifecycle management and Open WebUI integration.</x:v>
      </x:c>
      <x:c r="G21" s="12" t="str">
        <x:v>https://github.com/vast-development-method/colibri-setup</x:v>
      </x:c>
    </x:row>
    <x:row r="22" ht="68" hidden="0" customHeight="1">
      <x:c r="A22" s="47" t="n">
        <x:v>13</x:v>
      </x:c>
      <x:c r="B22" s="47" t="str">
        <x:v>getbible/v3_builder</x:v>
      </x:c>
      <x:c r="C22" s="47" t="str">
        <x:v>GetBible Scripture Platform</x:v>
      </x:c>
      <x:c r="D22" s="47" t="str">
        <x:v>307 attributable commits and 23,507 recorded changed lines in the dated audit; current chapter-editorial schema and native-publication safeguards reviewed in July 2026.</x:v>
      </x:c>
      <x:c r="E22" s="47" t="str">
        <x:v>Principal pipeline architect and maintainer</x:v>
      </x:c>
      <x:c r="F22" s="47" t="str">
        <x:v>Turns upstream SWORD modules into deterministic, testable and distributable scripture APIs instead of hand-maintained datasets.</x:v>
      </x:c>
      <x:c r="G22" s="47" t="str">
        <x:v>https://github.com/getbible/v3_builder</x:v>
      </x:c>
    </x:row>
    <x:row r="23" ht="15" hidden="0">
      <x:c r="A23" s="3"/>
      <x:c r="B23" s="3"/>
      <x:c r="C23" s="3"/>
      <x:c r="D23" s="3"/>
      <x:c r="E23" s="3"/>
      <x:c r="F23" s="3"/>
      <x:c r="G23" s="3"/>
    </x:row>
    <x:row r="24" ht="24" hidden="0" customHeight="1">
      <x:c r="A24" s="13" t="s">
        <x:v>12</x:v>
      </x:c>
      <x:c r="B24" s="13"/>
      <x:c r="C24" s="13"/>
      <x:c r="D24" s="13"/>
      <x:c r="E24" s="13"/>
      <x:c r="F24" s="13"/>
      <x:c r="G24" s="13"/>
    </x:row>
    <x:row r="25" ht="30" hidden="0" customHeight="1">
      <x:c r="A25" s="2" t="s">
        <x:v>13</x:v>
      </x:c>
      <x:c r="B25" s="2"/>
      <x:c r="C25" s="2"/>
      <x:c r="D25" s="2"/>
      <x:c r="E25" s="2"/>
      <x:c r="F25" s="2"/>
      <x:c r="G25" s="2"/>
    </x:row>
    <x:row r="26" ht="30" hidden="0" customHeight="1">
      <x:c r="A26" s="2"/>
      <x:c r="B26" s="2"/>
      <x:c r="C26" s="2"/>
      <x:c r="D26" s="2"/>
      <x:c r="E26" s="2"/>
      <x:c r="F26" s="2"/>
      <x:c r="G26" s="2"/>
    </x:row>
  </x:sheetData>
  <x:mergeCells>
    <x:mergeCell ref="A1:G1"/>
    <x:mergeCell ref="A2:G2"/>
    <x:mergeCell ref="A4:B4"/>
    <x:mergeCell ref="C4:D4"/>
    <x:mergeCell ref="E4:F4"/>
    <x:mergeCell ref="A5:B6"/>
    <x:mergeCell ref="C5:D6"/>
    <x:mergeCell ref="E5:F6"/>
    <x:mergeCell ref="G5:G6"/>
    <x:mergeCell ref="A8:G8"/>
    <x:mergeCell ref="A24:G24"/>
    <x:mergeCell ref="A25:G26"/>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9.7578125" defaultRowHeight="15"/>
  <x:cols>
    <x:col min="1" max="1" width="7.949999809265137" hidden="0" customWidth="1"/>
    <x:col min="2" max="2" width="36.31999969482422" hidden="0" customWidth="1"/>
    <x:col min="3" max="3" width="28.3799991607666" hidden="0" customWidth="1"/>
    <x:col min="4" max="4" width="61.29999923706055" hidden="0" customWidth="1"/>
    <x:col min="5" max="6" width="43.13999938964844" hidden="0" customWidth="1"/>
    <x:col min="7" max="8" width="54.4900016784668" hidden="0" customWidth="1"/>
    <x:col min="9" max="10" width="47.68000030517578" hidden="0" customWidth="1"/>
    <x:col min="11" max="11" width="49.95000076293945" hidden="0" customWidth="1"/>
    <x:col min="12" max="12" width="14.760000228881836" hidden="0" customWidth="1"/>
  </x:cols>
  <x:sheetData>
    <x:row r="1" ht="32" hidden="0" customHeight="1">
      <x:c r="A1" s="14" t="s">
        <x:v>14</x:v>
      </x:c>
      <x:c r="B1" s="14"/>
      <x:c r="C1" s="14"/>
      <x:c r="D1" s="14"/>
      <x:c r="E1" s="14"/>
      <x:c r="F1" s="14"/>
      <x:c r="G1" s="14"/>
      <x:c r="H1" s="14"/>
      <x:c r="I1" s="14"/>
      <x:c r="J1" s="14"/>
      <x:c r="K1" s="14"/>
      <x:c r="L1" s="14"/>
    </x:row>
    <x:row r="2" ht="30" hidden="0" customHeight="1">
      <x:c r="A2" s="2" t="s">
        <x:v>15</x:v>
      </x:c>
      <x:c r="B2" s="2"/>
      <x:c r="C2" s="2"/>
      <x:c r="D2" s="2"/>
      <x:c r="E2" s="2"/>
      <x:c r="F2" s="2"/>
      <x:c r="G2" s="2"/>
      <x:c r="H2" s="2"/>
      <x:c r="I2" s="2"/>
      <x:c r="J2" s="2"/>
      <x:c r="K2" s="2"/>
      <x:c r="L2" s="2"/>
    </x:row>
    <x:row r="3" ht="15" hidden="0">
      <x:c r="A3" s="3"/>
      <x:c r="B3" s="3"/>
      <x:c r="C3" s="3"/>
      <x:c r="D3" s="3"/>
      <x:c r="E3" s="3"/>
      <x:c r="F3" s="3"/>
      <x:c r="G3" s="3"/>
      <x:c r="H3" s="3"/>
      <x:c r="I3" s="3"/>
      <x:c r="J3" s="3"/>
      <x:c r="K3" s="3"/>
      <x:c r="L3" s="3"/>
    </x:row>
    <x:row r="4" ht="36" hidden="0" customHeight="1">
      <x:c r="A4" s="15" t="s">
        <x:v>16</x:v>
      </x:c>
      <x:c r="B4" s="15" t="s">
        <x:v>6</x:v>
      </x:c>
      <x:c r="C4" s="15" t="s">
        <x:v>7</x:v>
      </x:c>
      <x:c r="D4" s="15" t="s">
        <x:v>17</x:v>
      </x:c>
      <x:c r="E4" s="15" t="s">
        <x:v>9</x:v>
      </x:c>
      <x:c r="F4" s="15" t="s">
        <x:v>18</x:v>
      </x:c>
      <x:c r="G4" s="15" t="s">
        <x:v>19</x:v>
      </x:c>
      <x:c r="H4" s="15" t="s">
        <x:v>20</x:v>
      </x:c>
      <x:c r="I4" s="15" t="s">
        <x:v>21</x:v>
      </x:c>
      <x:c r="J4" s="15" t="s">
        <x:v>11</x:v>
      </x:c>
      <x:c r="K4" s="15" t="s">
        <x:v>22</x:v>
      </x:c>
      <x:c r="L4" s="15" t="s">
        <x:v>23</x:v>
      </x:c>
    </x:row>
    <x:row r="5" ht="98" hidden="0" customHeight="1">
      <x:c r="A5" s="11" t="n">
        <x:v>1</x:v>
      </x:c>
      <x:c r="B5" s="11" t="str">
        <x:v>joomengine/Joomla-Component-Builder</x:v>
      </x:c>
      <x:c r="C5" s="11" t="str">
        <x:v>Joomla Component Builder &amp; JoomEngine</x:v>
      </x:c>
      <x:c r="D5" s="11" t="str">
        <x:v>A compiler-oriented development platform for generating native Joomla components, plugins, modules, and supporting code across multiple Joomla generations.</x:v>
      </x:c>
      <x:c r="E5" s="11" t="str">
        <x:v>Founder, principal architect, lead developer and long-term maintainer</x:v>
      </x:c>
      <x:c r="F5" s="11" t="str">
        <x:v>PHP, Joomla 3–6, JavaScript, SQL, XML, CLI, Git</x:v>
      </x:c>
      <x:c r="G5" s="11" t="str">
        <x:v>959 attributable commits and 7.75M recorded changed lines in the dated identity-aware audit; public activity current through May 2026.</x:v>
      </x:c>
      <x:c r="H5" s="11" t="str">
        <x:v>Enables developers to model, compile, maintain, and distribute complete Joomla extensions across several CMS generations; this is the central platform behind much of the surrounding portfolio.</x:v>
      </x:c>
      <x:c r="I5" s="11" t="str">
        <x:v>Changed-line volume includes delivered generated output and is not a measure of manually typed lines, hours or quality.</x:v>
      </x:c>
      <x:c r="J5" s="16" t="str">
        <x:v>https://github.com/joomengine/Joomla-Component-Builder</x:v>
      </x:c>
      <x:c r="K5" s="16" t="str">
        <x:v>https://github.com/joomengine/Joomla-Component-Builder</x:v>
      </x:c>
      <x:c r="L5" s="49" t="n">
        <x:v>46232</x:v>
      </x:c>
    </x:row>
    <x:row r="6" ht="98" hidden="0" customHeight="1">
      <x:c r="A6" s="11" t="n">
        <x:v>2</x:v>
      </x:c>
      <x:c r="B6" s="11" t="str">
        <x:v>joomengine/joomla-mcp</x:v>
      </x:c>
      <x:c r="C6" s="11" t="str">
        <x:v>JoomEngine AI / MCP</x:v>
      </x:c>
      <x:c r="D6" s="11" t="str">
        <x:v>A TypeScript MCP server that maps a source-catalogued Joomla Web Services surface into structured tools with guarded write operations.</x:v>
      </x:c>
      <x:c r="E6" s="11" t="str">
        <x:v>Project architect, principal implementer and maintainer</x:v>
      </x:c>
      <x:c r="F6" s="11" t="str">
        <x:v>TypeScript, MCP, Node.js, Joomla 6.1, HTTP, stdio</x:v>
      </x:c>
      <x:c r="G6" s="11" t="str">
        <x:v>83 commits in the complete reviewed history; public @joomengine/joomla-mcp 0.7.0 package; 236 Joomla 6.1 Web Services route templates across 36 resource bases.</x:v>
      </x:c>
      <x:c r="H6" s="11" t="str">
        <x:v>Extends Joomla into modern AI and agent workflows through a source-backed semantic catalogue, guarded writes, Joomla API and native-companion transports, live validation, packaging and deployment foundations. The repository catalogues all 236 Joomla 6.1 core Web Services route templates while explicitly retaining production-certification gates.</x:v>
      </x:c>
      <x:c r="I6" s="11" t="str">
        <x:v>Production certification remains explicitly gated; action families are not presented as universally production-verified.</x:v>
      </x:c>
      <x:c r="J6" s="16" t="str">
        <x:v>https://github.com/joomengine/joomla-mcp</x:v>
      </x:c>
      <x:c r="K6" s="16" t="str">
        <x:v>https://github.com/joomengine/joomla-mcp/commit/7160096413dc71ed699e4f8e4988e4c7edc8c9e4</x:v>
      </x:c>
      <x:c r="L6" s="49" t="n">
        <x:v>46232</x:v>
      </x:c>
    </x:row>
    <x:row r="7" ht="98" hidden="0" customHeight="1">
      <x:c r="A7" s="11" t="n">
        <x:v>3</x:v>
      </x:c>
      <x:c r="B7" s="11" t="str">
        <x:v>octoleo/octojoom</x:v>
      </x:c>
      <x:c r="C7" s="11" t="str">
        <x:v>OctoLeo Automation &amp; Deployment</x:v>
      </x:c>
      <x:c r="D7" s="11" t="str">
        <x:v>A substantial Bash control plane for deploying and managing Dockerized Joomla and OpenSSH development environments across Linux, macOS, and Windows.</x:v>
      </x:c>
      <x:c r="E7" s="11" t="str">
        <x:v>Creator, principal Bash engineer and long-term maintainer</x:v>
      </x:c>
      <x:c r="F7" s="11" t="str">
        <x:v>Bash, Docker, Docker Compose, OpenSSH, whiptail, ShellCheck</x:v>
      </x:c>
      <x:c r="G7" s="11" t="str">
        <x:v>71 authored commits, approximately 6,573 lines of Bash across 175 functions, with public evidence from May 2021 to February 2026.</x:v>
      </x:c>
      <x:c r="H7" s="11" t="str">
        <x:v>Demonstrates advanced Bash architecture, container orchestration, networking, certificate automation, persistent-data lifecycle, migration and operator-focused systems engineering.</x:v>
      </x:c>
      <x:c r="I7" s="11" t="str">
        <x:v>GitHub is the selected public copy of the company source and is counted once.</x:v>
      </x:c>
      <x:c r="J7" s="16" t="str">
        <x:v>https://github.com/octoleo/octojoom</x:v>
      </x:c>
      <x:c r="K7" s="16" t="str">
        <x:v>https://github.com/octoleo/octojoom</x:v>
      </x:c>
      <x:c r="L7" s="49" t="n">
        <x:v>46232</x:v>
      </x:c>
    </x:row>
    <x:row r="8" ht="98" hidden="0" customHeight="1">
      <x:c r="A8" s="11" t="n">
        <x:v>4</x:v>
      </x:c>
      <x:c r="B8" s="11" t="str">
        <x:v>octoleo/joomengine</x:v>
      </x:c>
      <x:c r="C8" s="11" t="str">
        <x:v>OctoLeo Automation &amp; Deployment</x:v>
      </x:c>
      <x:c r="D8" s="11" t="str">
        <x:v>The official Shell-based Docker image build system for Joomla Component Builder, generating build matrices, manifests, tags, and published images from upstream release evidence.</x:v>
      </x:c>
      <x:c r="E8" s="11" t="str">
        <x:v>Creator, lead architect and maintainer</x:v>
      </x:c>
      <x:c r="F8" s="11" t="str">
        <x:v>Bash, Docker, AWK, jq, NDJSON, GitHub Actions</x:v>
      </x:c>
      <x:c r="G8" s="11" t="str">
        <x:v>Hash-gated release discovery, generated manifests, tag leadership and automated container publication are documented in current source.</x:v>
      </x:c>
      <x:c r="H8" s="11" t="str">
        <x:v>Automates release discovery, hash verification, Dockerfile generation, tag leadership, machine-readable manifests and image publication without hiding the build logic in CI YAML.</x:v>
      </x:c>
      <x:c r="I8" s="11" t="str">
        <x:v>Large change totals include generated image contexts and are not interpreted as hand-authored churn.</x:v>
      </x:c>
      <x:c r="J8" s="16" t="str">
        <x:v>https://github.com/octoleo/joomengine</x:v>
      </x:c>
      <x:c r="K8" s="16" t="str">
        <x:v>https://github.com/octoleo/joomengine</x:v>
      </x:c>
      <x:c r="L8" s="49" t="n">
        <x:v>46231</x:v>
      </x:c>
    </x:row>
    <x:row r="9" ht="98" hidden="0" customHeight="1">
      <x:c r="A9" s="11" t="n">
        <x:v>5</x:v>
      </x:c>
      <x:c r="B9" s="11" t="str">
        <x:v>getbible/librarian</x:v>
      </x:c>
      <x:c r="C9" s="11" t="str">
        <x:v>GetBible Scripture Platform</x:v>
      </x:c>
      <x:c r="D9" s="11" t="str">
        <x:v>A Python library for Bible-reference resolution, Scripture retrieval and Unicode-aware search, with bounded behaviour, verified caching, PyPI distribution and separate Query and Search service integration.</x:v>
      </x:c>
      <x:c r="E9" s="11" t="str">
        <x:v>Original author, principal architect and maintainer</x:v>
      </x:c>
      <x:c r="F9" s="11" t="str">
        <x:v>Python, PyPI, Unicode, HTTP APIs, Caching, YAML, CI</x:v>
      </x:c>
      <x:c r="G9" s="11" t="str">
        <x:v>33 commits in the current reviewed history; release gates, caching, API integration and operations documentation were source-reviewed through July 2026.</x:v>
      </x:c>
      <x:c r="H9" s="11" t="str">
        <x:v>Provides reusable reference and search contracts, checksum-verified bounded caches, multi-worker operations, PyPI distribution, and separate Query/Search HTTP service integration.</x:v>
      </x:c>
      <x:c r="I9" s="11" t="str">
        <x:v>Earlier line totals were retired rather than mixed with a newer repository history.</x:v>
      </x:c>
      <x:c r="J9" s="16" t="str">
        <x:v>https://github.com/getbible/librarian</x:v>
      </x:c>
      <x:c r="K9" s="16" t="str">
        <x:v>https://github.com/getbible/librarian/commit/17c8013b3cc7ddd05551f2f4772f4eb3cf3134cc</x:v>
      </x:c>
      <x:c r="L9" s="49" t="n">
        <x:v>46232</x:v>
      </x:c>
    </x:row>
    <x:row r="10" ht="98" hidden="0" customHeight="1">
      <x:c r="A10" s="11" t="n">
        <x:v>6</x:v>
      </x:c>
      <x:c r="B10" s="11" t="str">
        <x:v>Kumwe/cms</x:v>
      </x:c>
      <x:c r="C10" s="11" t="str">
        <x:v>Kumwe CMS &amp; Business Platform</x:v>
      </x:c>
      <x:c r="D10" s="11" t="str">
        <x:v>A modern content-management system and typed business application platform whose administrator, portal, REST, CLI, MCP, worker, and scheduler surfaces share the same application rules.</x:v>
      </x:c>
      <x:c r="E10" s="11" t="str">
        <x:v>Principal architect, lead implementer and maintainer</x:v>
      </x:c>
      <x:c r="F10" s="11" t="str">
        <x:v>PHP 8.5, Mezzio, Joomla Framework, Doctrine DBAL, Redis, TypeScript, Docker, MCP</x:v>
      </x:c>
      <x:c r="G10" s="11" t="str">
        <x:v>The 13 August 2026 master snapshot contains 331 attributable commits across 2,054 unique paths and documents a working CMS and business runtime with governed content, typed definitions, generated administrator and portal surfaces, REST/OpenAPI, CLI, MCP, signed extensions, durable automation, and three supported SQL engines.</x:v>
      </x:c>
      <x:c r="H10" s="11" t="str">
        <x:v>Demonstrates a coherent application platform spanning content workflows, typed business definitions and records, authorization and approvals, signed extensions, portable persistence, generated interfaces, events, reports, integration tooling, and production operations.</x:v>
      </x:c>
      <x:c r="I10" s="11" t="str">
        <x:v>The project is active and evolving; this brief follows current public documentation and does not invent adoption, deployment-scale, performance, or production-certification claims.</x:v>
      </x:c>
      <x:c r="J10" s="16" t="str">
        <x:v>https://github.com/kumwe/cms</x:v>
      </x:c>
      <x:c r="K10" s="16" t="str">
        <x:v>https://github.com/kumwe/cms/commit/155a8a9aa9fd3c3aaf0a2acbb19fea58e0cb87fd</x:v>
      </x:c>
      <x:c r="L10" s="49" t="n">
        <x:v>46247</x:v>
      </x:c>
    </x:row>
    <x:row r="11" ht="98" hidden="0" customHeight="1">
      <x:c r="A11" s="11" t="n">
        <x:v>7</x:v>
      </x:c>
      <x:c r="B11" s="11" t="str">
        <x:v>joomla-docker/docker-joomla</x:v>
      </x:c>
      <x:c r="C11" s="11" t="str">
        <x:v>Official Joomla Container Engineering</x:v>
      </x:c>
      <x:c r="D11" s="11" t="str">
        <x:v>Official Joomla container image work covering repeatable builds, image variants, multi-architecture publication, and upstream delivery constraints.</x:v>
      </x:c>
      <x:c r="E11" s="11" t="str">
        <x:v>Official Joomla Docker maintainer and senior contributor</x:v>
      </x:c>
      <x:c r="F11" s="11" t="str">
        <x:v>Docker, OCI images, Bash, GitHub Actions, Multi-architecture</x:v>
      </x:c>
      <x:c r="G11" s="11" t="str">
        <x:v>185 attributable commits and 154,396 recorded changed lines in the dated audit; public activity current through July 2026.</x:v>
      </x:c>
      <x:c r="H11" s="11" t="str">
        <x:v>Contributes directly to the official container distribution path used to run Joomla across supported PHP and web-server variants.</x:v>
      </x:c>
      <x:c r="I11" s="11" t="str">
        <x:v>The verified maintainer and contributor role is stated accurately; sole ownership is not claimed.</x:v>
      </x:c>
      <x:c r="J11" s="16" t="str">
        <x:v>https://github.com/joomla-docker/docker-joomla</x:v>
      </x:c>
      <x:c r="K11" s="16" t="str">
        <x:v>https://github.com/joomla-docker/docker-joomla</x:v>
      </x:c>
      <x:c r="L11" s="49" t="n">
        <x:v>46232</x:v>
      </x:c>
    </x:row>
    <x:row r="12" ht="98" hidden="0" customHeight="1">
      <x:c r="A12" s="11" t="n">
        <x:v>8</x:v>
      </x:c>
      <x:c r="B12" s="11" t="str">
        <x:v>getbible/robot</x:v>
      </x:c>
      <x:c r="C12" s="11" t="str">
        <x:v>GetBible Scripture Platform</x:v>
      </x:c>
      <x:c r="D12" s="11" t="str">
        <x:v>A hardened Telegram Scripture service and authenticated Mini App with bounded browsing and posting, a responsive full-screen Bible reader, persistent translation preferences and polling or webhook delivery.</x:v>
      </x:c>
      <x:c r="E12" s="11" t="str">
        <x:v>Project architect, principal implementer and maintainer</x:v>
      </x:c>
      <x:c r="F12" s="11" t="str">
        <x:v>Python, TypeScript, JavaScript, HTML/CSS, Telegram Mini Apps, Docker Compose, systemd, Caddy</x:v>
      </x:c>
      <x:c r="G12" s="11" t="str">
        <x:v>Current source through 29 July 2026 includes Robot 2.1.0 images, compact and full-screen reader navigation, translation synchronisation, accessibility-aware naming and browser regression coverage.</x:v>
      </x:c>
      <x:c r="H12" s="11" t="str">
        <x:v>Demonstrates public-service reliability, hostile-input boundaries, asynchronous Python, signed web-app authorization, accessible responsive interaction, browser regression testing, Docker/Compose distribution, and operational hardening.</x:v>
      </x:c>
      <x:c r="I12" s="11" t="str">
        <x:v>An obsolete historical commit figure is retired; current claims are qualitative, dated and source-linked.</x:v>
      </x:c>
      <x:c r="J12" s="16" t="str">
        <x:v>https://github.com/getbible/robot</x:v>
      </x:c>
      <x:c r="K12" s="16" t="str">
        <x:v>https://github.com/getbible/robot/commit/fb39b3ec6ddd8009382562d636f258d30019cb65</x:v>
      </x:c>
      <x:c r="L12" s="49" t="n">
        <x:v>46232</x:v>
      </x:c>
    </x:row>
    <x:row r="13" ht="98" hidden="0" customHeight="1">
      <x:c r="A13" s="11" t="n">
        <x:v>9</x:v>
      </x:c>
      <x:c r="B13" s="11" t="str">
        <x:v>getbible/sword</x:v>
      </x:c>
      <x:c r="C13" s="11" t="str">
        <x:v>GetBible Scripture Platform</x:v>
      </x:c>
      <x:c r="D13" s="11" t="str">
        <x:v>A native PHP extension exposing the released getBibleSword C ABI through streamed PHP APIs without subprocess startup or an ambient SWORD shared-library dependency.</x:v>
      </x:c>
      <x:c r="E13" s="11" t="str">
        <x:v>Principal architect, native-integration engineer and maintainer</x:v>
      </x:c>
      <x:c r="F13" s="11" t="str">
        <x:v>C, C++, PHP extension APIs, Zend, Autotools, CMake, PIE, PHPT</x:v>
      </x:c>
      <x:c r="G13" s="11" t="str">
        <x:v>41 commits in the exact reviewed history, including C/Zend integration, PIE packaging, PHPT tests, pinned native dependencies and reproducible golden evidence.</x:v>
      </x:c>
      <x:c r="H13" s="11" t="str">
        <x:v>Demonstrates C/C++ and Zend/PHP extension work, deterministic dependency pinning, PIE packaging, streamed APIs, PHPT coverage, architecture documentation and reproducible golden release evidence.</x:v>
      </x:c>
      <x:c r="I13" s="11" t="str">
        <x:v>The extension exposes the released ABI and does not claim unimplemented network or module-management operations.</x:v>
      </x:c>
      <x:c r="J13" s="16" t="str">
        <x:v>https://github.com/getbible/sword</x:v>
      </x:c>
      <x:c r="K13" s="16" t="str">
        <x:v>https://github.com/getbible/sword/commit/4d078c4be04e146ed95e38b9a450379571f231d7</x:v>
      </x:c>
      <x:c r="L13" s="49" t="n">
        <x:v>46232</x:v>
      </x:c>
    </x:row>
    <x:row r="14" ht="98" hidden="0" customHeight="1">
      <x:c r="A14" s="11" t="n">
        <x:v>10</x:v>
      </x:c>
      <x:c r="B14" s="11" t="str">
        <x:v>getbible/scripture</x:v>
      </x:c>
      <x:c r="C14" s="11" t="str">
        <x:v>GetBible Scripture Platform</x:v>
      </x:c>
      <x:c r="D14" s="11" t="str">
        <x:v>An object-oriented PHP application layer over the native extension that validates the NDJSON contract and exposes immutable, lazy Bible-domain objects with controlled refresh and integration paths.</x:v>
      </x:c>
      <x:c r="E14" s="11" t="str">
        <x:v>Principal application-layer architect and maintainer</x:v>
      </x:c>
      <x:c r="F14" s="11" t="str">
        <x:v>PHP, Composer, Joomla Framework, Dependency Injection, NDJSON, Shell, CI</x:v>
      </x:c>
      <x:c r="G14" s="11" t="str">
        <x:v>23 commits in the exact reviewed history; source includes snapshots, bounded locks, refresh state, dependency injection, console commands and Joomla scheduled-task integration.</x:v>
      </x:c>
      <x:c r="H14" s="11" t="str">
        <x:v>Adds contract validation, immutable snapshots, bounded locking, durable refresh state, console commands and Joomla scheduled-task integration without loading an entire Bible graph into each PHP process.</x:v>
      </x:c>
      <x:c r="I14" s="11" t="str">
        <x:v>The application depends on the native extension and installed SWORD modules; provisioning remains capability-gated.</x:v>
      </x:c>
      <x:c r="J14" s="16" t="str">
        <x:v>https://github.com/getbible/scripture</x:v>
      </x:c>
      <x:c r="K14" s="16" t="str">
        <x:v>https://github.com/getbible/scripture/commit/a7e10809e2fceebdcc50fb68b6fc11b5212e92bf</x:v>
      </x:c>
      <x:c r="L14" s="49" t="n">
        <x:v>46232</x:v>
      </x:c>
    </x:row>
    <x:row r="15" ht="98" hidden="0" customHeight="1">
      <x:c r="A15" s="11" t="n">
        <x:v>11</x:v>
      </x:c>
      <x:c r="B15" s="11" t="str">
        <x:v>vast-development-method/opencode-platform</x:v>
      </x:c>
      <x:c r="C15" s="11" t="str">
        <x:v>VDM Platforms &amp; Applied AI</x:v>
      </x:c>
      <x:c r="D15" s="11" t="str">
        <x:v>A source-controlled family of Ubuntu 24.04 Incus VM images for PHP, Python, C++, TypeScript, and combined engineering work.</x:v>
      </x:c>
      <x:c r="E15" s="11" t="str">
        <x:v>Platform architect, principal implementer and maintainer</x:v>
      </x:c>
      <x:c r="F15" s="11" t="str">
        <x:v>Incus, Ubuntu 24.04, Bash, PHP, Python, C++, TypeScript</x:v>
      </x:c>
      <x:c r="G15" s="11" t="str">
        <x:v>41 default-branch commits in the complete reviewed history; six Ubuntu 24.04 image variants with manifest-owned policy, build limits, provenance and MCP integration.</x:v>
      </x:c>
      <x:c r="H15" s="11" t="str">
        <x:v>Demonstrates secure agent-platform architecture across image generation, network policy, runtime credentials, SBOM/provenance, release promotion and Joomla MCP integration in PHP/full images.</x:v>
      </x:c>
      <x:c r="I15" s="11" t="str">
        <x:v>Documented production gates are preserved; every environment is not implied to be production-certified.</x:v>
      </x:c>
      <x:c r="J15" s="16" t="str">
        <x:v>https://github.com/vast-development-method/opencode-platform</x:v>
      </x:c>
      <x:c r="K15" s="16" t="str">
        <x:v>https://github.com/vast-development-method/opencode-platform/commit/2d6b53ae05c05f505607458e325d057d9a10d55f</x:v>
      </x:c>
      <x:c r="L15" s="49" t="n">
        <x:v>46232</x:v>
      </x:c>
    </x:row>
    <x:row r="16" ht="98" hidden="0" customHeight="1">
      <x:c r="A16" s="11" t="n">
        <x:v>12</x:v>
      </x:c>
      <x:c r="B16" s="11" t="str">
        <x:v>vast-development-method/colibri-setup</x:v>
      </x:c>
      <x:c r="C16" s="11" t="str">
        <x:v>VDM Platforms &amp; Applied AI</x:v>
      </x:c>
      <x:c r="D16" s="11" t="str">
        <x:v>An operator-focused toolkit for a persistent CPU/NVMe-backed Colibri service that keeps the GPU available, verifies and surgically repairs model weights, derives adaptive resource profiles and integrates with Open WebUI.</x:v>
      </x:c>
      <x:c r="E16" s="11" t="str">
        <x:v>Systems architect, principal implementer and maintainer</x:v>
      </x:c>
      <x:c r="F16" s="11" t="str">
        <x:v>Bash, C/C++ build tooling, systemd, Node.js, Docker networking, OpenAI-compatible APIs, NVMe</x:v>
      </x:c>
      <x:c r="G16" s="11" t="str">
        <x:v>53 default-branch commits in the complete reviewed history; current source covers an 80% available-RAM ceiling, CPU-only enforcement, checksum repair and lifecycle tests.</x:v>
      </x:c>
      <x:c r="H16" s="11" t="str">
        <x:v>Shows resource-aware local-model deployment, resumable large-model acquisition, checksum verification and repair, multi-NVMe operation, systemd lifecycle management and Open WebUI integration.</x:v>
      </x:c>
      <x:c r="I16" s="11" t="str">
        <x:v>Performance depends on host resources and upstream model/runtime behaviour; no benchmark claims are invented.</x:v>
      </x:c>
      <x:c r="J16" s="16" t="str">
        <x:v>https://github.com/vast-development-method/colibri-setup</x:v>
      </x:c>
      <x:c r="K16" s="16" t="str">
        <x:v>https://github.com/vast-development-method/colibri-setup/commit/98d11b2785d65789b80a6d9ffcb0bff620ee3511</x:v>
      </x:c>
      <x:c r="L16" s="49" t="n">
        <x:v>46232</x:v>
      </x:c>
    </x:row>
    <x:row r="17" ht="86" customHeight="1">
      <x:c r="A17" s="35" t="n">
        <x:v>13</x:v>
      </x:c>
      <x:c r="B17" s="35" t="str">
        <x:v>getbible/v3_builder</x:v>
      </x:c>
      <x:c r="C17" s="35" t="str">
        <x:v>GetBible Scripture Platform</x:v>
      </x:c>
      <x:c r="D17" s="35" t="str">
        <x:v>A Python 3.12 build system that converts SWORD module output into a deterministic, validated, checksummed static API.</x:v>
      </x:c>
      <x:c r="E17" s="35" t="str">
        <x:v>Principal pipeline architect and maintainer</x:v>
      </x:c>
      <x:c r="F17" s="35" t="str">
        <x:v>Python 3.12, Bash, NDJSON, JSON, Checksums, GitHub Actions</x:v>
      </x:c>
      <x:c r="G17" s="35" t="str">
        <x:v>307 attributable commits and 23,507 recorded changed lines in the dated audit; current chapter-editorial schema and native-publication safeguards reviewed in July 2026.</x:v>
      </x:c>
      <x:c r="H17" s="35" t="str">
        <x:v>Turns upstream SWORD modules into deterministic, testable and distributable scripture APIs instead of hand-maintained datasets.</x:v>
      </x:c>
      <x:c r="I17" s="35" t="str">
        <x:v>Generated corpus volume is separate from hand-authored source metrics.</x:v>
      </x:c>
      <x:c r="J17" s="35" t="str">
        <x:v>https://github.com/getbible/v3_builder</x:v>
      </x:c>
      <x:c r="K17" s="35" t="str">
        <x:v>https://github.com/getbible/v3_builder/commit/ddd727f15f0dfec7587227693b7135631dc77b82</x:v>
      </x:c>
      <x:c r="L17" s="50" t="n">
        <x:v>46232</x:v>
      </x:c>
    </x:row>
  </x:sheetData>
  <x:mergeCells>
    <x:mergeCell ref="A1:L1"/>
    <x:mergeCell ref="A2:L2"/>
  </x:mergeCells>
  <x:pageMargins left="0.7" right="0.7" top="0.75" bottom="0.75" header="0.3" footer="0.3"/>
  <x:tableParts count="1">
    <x:tablePart xmlns:r="http://schemas.openxmlformats.org/officeDocument/2006/relationships" r:id="R0dcbe1a928c641dc"/>
  </x:tableParts>
</x:worksheet>
</file>

<file path=xl/worksheets/sheet3.xml><?xml version="1.0" encoding="utf-8"?>
<x:worksheet xmlns:x="http://schemas.openxmlformats.org/spreadsheetml/2006/main">
  <x:sheetViews>
    <x:sheetView showGridLines="1" workbookViewId="0"/>
  </x:sheetViews>
  <x:sheetFormatPr defaultColWidth="9.7578125" defaultRowHeight="15"/>
  <x:cols>
    <x:col min="1" max="1" width="6.809999942779541" hidden="0" customWidth="1"/>
    <x:col min="2" max="2" width="22.700000762939453" hidden="0" customWidth="1"/>
    <x:col min="3" max="3" width="34.060001373291016" hidden="0" customWidth="1"/>
    <x:col min="4" max="4" width="43.13999938964844" hidden="0" customWidth="1"/>
    <x:col min="5" max="5" width="22.700000762939453" hidden="0" customWidth="1"/>
    <x:col min="6" max="7" width="14.760000228881836" hidden="0" customWidth="1"/>
    <x:col min="8" max="8" width="32.91999816894531" hidden="0" customWidth="1"/>
    <x:col min="9" max="9" width="13.619999885559082" hidden="0" customWidth="1"/>
    <x:col min="10" max="10" width="12.489999771118164" hidden="0" customWidth="1"/>
    <x:col min="11" max="11" width="13.619999885559082" hidden="0" customWidth="1"/>
    <x:col min="12" max="13" width="15.890000343322754" hidden="0" customWidth="1"/>
    <x:col min="14" max="14" width="18.15999984741211" hidden="0" customWidth="1"/>
    <x:col min="15" max="15" width="14.760000228881836" hidden="0" customWidth="1"/>
    <x:col min="16" max="16" width="39.72999954223633" hidden="0" customWidth="1"/>
    <x:col min="17" max="17" width="45.40999984741211" hidden="0" customWidth="1"/>
    <x:col min="18" max="18" width="38.599998474121094" hidden="0" customWidth="1"/>
    <x:col min="19" max="19" width="59.029998779296875" hidden="0" customWidth="1"/>
    <x:col min="20" max="20" width="61.29999923706055" hidden="0" customWidth="1"/>
    <x:col min="21" max="21" width="54.4900016784668" hidden="0" customWidth="1"/>
    <x:col min="22" max="22" width="47.68000030517578" hidden="0" customWidth="1"/>
    <x:col min="23" max="23" width="52.220001220703125" hidden="0" customWidth="1"/>
    <x:col min="24" max="24" width="27.239999771118164" hidden="0" customWidth="1"/>
  </x:cols>
  <x:sheetData>
    <x:row r="1" ht="32" hidden="0" customHeight="1">
      <x:c r="A1" s="14" t="s">
        <x:v>24</x:v>
      </x:c>
      <x:c r="B1" s="14"/>
      <x:c r="C1" s="14"/>
      <x:c r="D1" s="14"/>
      <x:c r="E1" s="14"/>
      <x:c r="F1" s="14"/>
      <x:c r="G1" s="14"/>
      <x:c r="H1" s="14"/>
      <x:c r="I1" s="14"/>
      <x:c r="J1" s="14"/>
      <x:c r="K1" s="14"/>
      <x:c r="L1" s="14"/>
      <x:c r="M1" s="14"/>
      <x:c r="N1" s="14"/>
      <x:c r="O1" s="14"/>
      <x:c r="P1" s="14"/>
      <x:c r="Q1" s="14"/>
      <x:c r="R1" s="14"/>
      <x:c r="S1" s="14"/>
      <x:c r="T1" s="14"/>
      <x:c r="U1" s="14"/>
      <x:c r="V1" s="14"/>
      <x:c r="W1" s="14"/>
      <x:c r="X1" s="14"/>
    </x:row>
    <x:row r="2" ht="30" hidden="0" customHeight="1">
      <x:c r="A2" s="2" t="str">
        <x:v>Canonical, attributable and de-duplicated public repository lineages. First and latest attributable dates, active months and dated metrics are included to show authorship, continuity and maintenance duration; generated delivery and mirrors are not double-counted.</x:v>
      </x:c>
      <x:c r="B2" s="2"/>
      <x:c r="C2" s="2"/>
      <x:c r="D2" s="2"/>
      <x:c r="E2" s="2"/>
      <x:c r="F2" s="2"/>
      <x:c r="G2" s="2"/>
      <x:c r="H2" s="2"/>
      <x:c r="I2" s="2"/>
      <x:c r="J2" s="2"/>
      <x:c r="K2" s="2"/>
      <x:c r="L2" s="2"/>
      <x:c r="M2" s="2"/>
      <x:c r="N2" s="2"/>
      <x:c r="O2" s="2"/>
      <x:c r="P2" s="2"/>
      <x:c r="Q2" s="2"/>
      <x:c r="R2" s="2"/>
      <x:c r="S2" s="2"/>
      <x:c r="T2" s="2"/>
      <x:c r="U2" s="2"/>
      <x:c r="V2" s="2"/>
      <x:c r="W2" s="2"/>
      <x:c r="X2" s="2"/>
    </x:row>
    <x:row r="3" ht="15" hidden="0">
      <x:c r="A3" s="3"/>
      <x:c r="B3" s="3"/>
      <x:c r="C3" s="3"/>
      <x:c r="D3" s="3"/>
      <x:c r="E3" s="3"/>
      <x:c r="F3" s="3"/>
      <x:c r="G3" s="3"/>
      <x:c r="H3" s="3"/>
      <x:c r="I3" s="3"/>
      <x:c r="J3" s="3"/>
      <x:c r="K3" s="3"/>
      <x:c r="L3" s="3"/>
      <x:c r="M3" s="3"/>
      <x:c r="N3" s="3"/>
      <x:c r="O3" s="3"/>
      <x:c r="P3" s="3"/>
      <x:c r="Q3" s="3"/>
      <x:c r="R3" s="3"/>
      <x:c r="S3" s="3"/>
      <x:c r="T3" s="3"/>
      <x:c r="U3" s="3"/>
      <x:c r="V3" s="3"/>
      <x:c r="W3" s="3"/>
      <x:c r="X3" s="3"/>
    </x:row>
    <x:row r="4" ht="42" hidden="0" customHeight="1">
      <x:c r="A4" s="5" t="s">
        <x:v>25</x:v>
      </x:c>
      <x:c r="B4" s="5" t="s">
        <x:v>26</x:v>
      </x:c>
      <x:c r="C4" s="5" t="s">
        <x:v>7</x:v>
      </x:c>
      <x:c r="D4" s="5" t="s">
        <x:v>6</x:v>
      </x:c>
      <x:c r="E4" s="5" t="s">
        <x:v>27</x:v>
      </x:c>
      <x:c r="F4" s="5" t="s">
        <x:v>28</x:v>
      </x:c>
      <x:c r="G4" s="5" t="s">
        <x:v>29</x:v>
      </x:c>
      <x:c r="H4" s="5" t="s">
        <x:v>30</x:v>
      </x:c>
      <x:c r="I4" s="5" t="s">
        <x:v>31</x:v>
      </x:c>
      <x:c r="J4" s="5" t="s">
        <x:v>32</x:v>
      </x:c>
      <x:c r="K4" s="5" t="s">
        <x:v>33</x:v>
      </x:c>
      <x:c r="L4" s="5" t="s">
        <x:v>34</x:v>
      </x:c>
      <x:c r="M4" s="5" t="s">
        <x:v>35</x:v>
      </x:c>
      <x:c r="N4" s="5" t="s">
        <x:v>36</x:v>
      </x:c>
      <x:c r="O4" s="5" t="s">
        <x:v>37</x:v>
      </x:c>
      <x:c r="P4" s="5" t="s">
        <x:v>18</x:v>
      </x:c>
      <x:c r="Q4" s="5" t="s">
        <x:v>9</x:v>
      </x:c>
      <x:c r="R4" s="5" t="s">
        <x:v>38</x:v>
      </x:c>
      <x:c r="S4" s="5" t="s">
        <x:v>39</x:v>
      </x:c>
      <x:c r="T4" s="5" t="s">
        <x:v>10</x:v>
      </x:c>
      <x:c r="U4" s="5" t="s">
        <x:v>40</x:v>
      </x:c>
      <x:c r="V4" s="5" t="s">
        <x:v>11</x:v>
      </x:c>
      <x:c r="W4" s="5" t="s">
        <x:v>22</x:v>
      </x:c>
      <x:c r="X4" s="5" t="s">
        <x:v>41</x:v>
      </x:c>
    </x:row>
    <x:row r="5" ht="72" hidden="0" customHeight="1">
      <x:c r="A5" s="18" t="n">
        <x:v>1</x:v>
      </x:c>
      <x:c r="B5" s="19" t="str">
        <x:v>Flagship</x:v>
      </x:c>
      <x:c r="C5" s="18" t="str">
        <x:v>Joomla Component Builder &amp; JoomEngine</x:v>
      </x:c>
      <x:c r="D5" s="18" t="str">
        <x:v>joomengine/Joomla-Component-Builder</x:v>
      </x:c>
      <x:c r="E5" s="20" t="str">
        <x:v>joomengine</x:v>
      </x:c>
      <x:c r="F5" s="51" t="n">
        <x:v>42399</x:v>
      </x:c>
      <x:c r="G5" s="51" t="n">
        <x:v>46163</x:v>
      </x:c>
      <x:c r="H5" s="20" t="str">
        <x:v>Current/present-day public activity evidenced in 2026</x:v>
      </x:c>
      <x:c r="I5" s="52" t="n">
        <x:v>959</x:v>
      </x:c>
      <x:c r="J5" s="52" t="n">
        <x:v>565</x:v>
      </x:c>
      <x:c r="K5" s="52" t="n">
        <x:v>103</x:v>
      </x:c>
      <x:c r="L5" s="52" t="n">
        <x:v>4624219</x:v>
      </x:c>
      <x:c r="M5" s="52" t="n">
        <x:v>3129642</x:v>
      </x:c>
      <x:c r="N5" s="52" t="n">
        <x:v>7753861</x:v>
      </x:c>
      <x:c r="O5" s="52" t="n">
        <x:v>13607</x:v>
      </x:c>
      <x:c r="P5" s="20" t="str">
        <x:v>PHP, JavaScript, CSS, HTML, SQL</x:v>
      </x:c>
      <x:c r="Q5" s="20" t="str">
        <x:v>Founder, principal architect, lead developer and long-term maintainer</x:v>
      </x:c>
      <x:c r="R5" s="20" t="str">
        <x:v>Principal / architectural</x:v>
      </x:c>
      <x:c r="S5" s="20" t="str">
        <x:v>Professional-grade Joomla extension development engine and full-stack build pipeline supporting Joomla 3 through 6, reusable powers, blueprint modelling, multi-version compilation, packaging, and Git-backed distribution.</x:v>
      </x:c>
      <x:c r="T5" s="20" t="str">
        <x:v>Enables developers to model, compile, maintain, and distribute complete Joomla extensions across several CMS generations; this is the central platform behind much of the surrounding portfolio.</x:v>
      </x:c>
      <x:c r="U5" s="20" t="str">
        <x:v>Canonical inclusion refreshed 28 July 2026. Contribution metrics are the identity-aware repository snapshot from 18 July 2026 and must not be summed across repositories.</x:v>
      </x:c>
      <x:c r="V5" s="16" t="str">
        <x:v>https://github.com/joomengine/Joomla-Component-Builder</x:v>
      </x:c>
      <x:c r="W5" s="16" t="str">
        <x:v>https://github.com/joomengine/Joomla-Component-Builder</x:v>
      </x:c>
      <x:c r="X5" s="20" t="str">
        <x:v>primary</x:v>
      </x:c>
    </x:row>
    <x:row r="6" ht="72" hidden="0" customHeight="1">
      <x:c r="A6" s="18" t="n">
        <x:v>2</x:v>
      </x:c>
      <x:c r="B6" s="19" t="str">
        <x:v>Flagship</x:v>
      </x:c>
      <x:c r="C6" s="18" t="str">
        <x:v>JoomEngine AI / MCP</x:v>
      </x:c>
      <x:c r="D6" s="18" t="str">
        <x:v>joomengine/joomla-mcp</x:v>
      </x:c>
      <x:c r="E6" s="20" t="str">
        <x:v>joomengine</x:v>
      </x:c>
      <x:c r="F6" s="51" t="n">
        <x:v>46226</x:v>
      </x:c>
      <x:c r="G6" s="51" t="n">
        <x:v>46229</x:v>
      </x:c>
      <x:c r="H6" s="20" t="str">
        <x:v>Current package and public source reviewed through 29 July 2026</x:v>
      </x:c>
      <x:c r="I6" s="52" t="n">
        <x:v>83</x:v>
      </x:c>
      <x:c r="J6" s="52"/>
      <x:c r="K6" s="52" t="n">
        <x:v>1</x:v>
      </x:c>
      <x:c r="L6" s="52"/>
      <x:c r="M6" s="52"/>
      <x:c r="N6" s="52"/>
      <x:c r="O6" s="52"/>
      <x:c r="P6" s="20" t="str">
        <x:v>TypeScript, PHP, JavaScript, JSON, Shell/Bash, Docker, YAML/CI</x:v>
      </x:c>
      <x:c r="Q6" s="20" t="str">
        <x:v>Project architect, principal implementer and maintainer</x:v>
      </x:c>
      <x:c r="R6" s="20" t="str">
        <x:v>Senior / principal architecture and applied AI integration</x:v>
      </x:c>
      <x:c r="S6" s="20" t="str">
        <x:v>Embeddable library and self-hosted Model Context Protocol server for administering Joomla 6.x through bounded, auditable semantic actions.</x:v>
      </x:c>
      <x:c r="T6" s="20" t="str">
        <x:v>Extends Joomla into modern AI and agent workflows through a source-backed semantic catalogue, guarded writes, Joomla API and native-companion transports, live validation, packaging and deployment foundations. The repository catalogues all 236 Joomla 6.1 core Web Services route templates while explicitly retaining production-certification gates.</x:v>
      </x:c>
      <x:c r="U6" s="20" t="str">
        <x:v>Complete default-branch history contains 83 commits. Public @joomengine/joomla-mcp 0.7.0 package and repository source were reviewed on 29 July 2026; production certification remains explicitly gated.</x:v>
      </x:c>
      <x:c r="V6" s="16" t="str">
        <x:v>https://github.com/joomengine/joomla-mcp</x:v>
      </x:c>
      <x:c r="W6" s="16" t="str">
        <x:v>https://github.com/joomengine/joomla-mcp/commit/7160096413dc71ed699e4f8e4988e4c7edc8c9e4</x:v>
      </x:c>
      <x:c r="X6" s="20" t="str">
        <x:v>current source review</x:v>
      </x:c>
    </x:row>
    <x:row r="7" ht="72" hidden="0" customHeight="1">
      <x:c r="A7" s="18" t="n">
        <x:v>3</x:v>
      </x:c>
      <x:c r="B7" s="19" t="str">
        <x:v>Flagship</x:v>
      </x:c>
      <x:c r="C7" s="18" t="str">
        <x:v>OctoLeo Automation &amp; Deployment</x:v>
      </x:c>
      <x:c r="D7" s="18" t="str">
        <x:v>octoleo/octojoom</x:v>
      </x:c>
      <x:c r="E7" s="20" t="str">
        <x:v>octoleo</x:v>
      </x:c>
      <x:c r="F7" s="51" t="n">
        <x:v>44319</x:v>
      </x:c>
      <x:c r="G7" s="51" t="n">
        <x:v>46079</x:v>
      </x:c>
      <x:c r="H7" s="20" t="str">
        <x:v>Maintained public platform; source-reviewed 29 July 2026</x:v>
      </x:c>
      <x:c r="I7" s="52" t="n">
        <x:v>71</x:v>
      </x:c>
      <x:c r="J7" s="52" t="n">
        <x:v>55</x:v>
      </x:c>
      <x:c r="K7" s="52" t="n">
        <x:v>20</x:v>
      </x:c>
      <x:c r="L7" s="52" t="n">
        <x:v>16808</x:v>
      </x:c>
      <x:c r="M7" s="52" t="n">
        <x:v>7863</x:v>
      </x:c>
      <x:c r="N7" s="52" t="n">
        <x:v>24671</x:v>
      </x:c>
      <x:c r="O7" s="52" t="n">
        <x:v>31</x:v>
      </x:c>
      <x:c r="P7" s="20" t="str">
        <x:v>Shell/Bash, Docker, Docker Compose, Traefik, Portainer, OpenSSH, ACME, Cloudflare DNS</x:v>
      </x:c>
      <x:c r="Q7" s="20" t="str">
        <x:v>Creator, principal Bash engineer and long-term maintainer</x:v>
      </x:c>
      <x:c r="R7" s="20" t="str">
        <x:v>Senior deployment automation and developer-experience engineering</x:v>
      </x:c>
      <x:c r="S7" s="20" t="str">
        <x:v>Cross-platform Bash platform for deploying and operating multi-user Dockerised Joomla and OpenSSH environments with Traefik, Portainer, ACME, persistent storage, backup and remote migration.</x:v>
      </x:c>
      <x:c r="T7" s="20" t="str">
        <x:v>Demonstrates advanced Bash architecture, container orchestration, networking, certificate automation, persistent-data lifecycle, migration and operator-focused systems engineering.</x:v>
      </x:c>
      <x:c r="U7" s="20" t="str">
        <x:v>Current source review found 71 authored commits, approximately 6,573 lines of Bash and 175 functions. GitHub is the selected public copy of the company source and is counted once.</x:v>
      </x:c>
      <x:c r="V7" s="16" t="str">
        <x:v>https://github.com/octoleo/octojoom</x:v>
      </x:c>
      <x:c r="W7" s="16" t="str">
        <x:v>https://github.com/octoleo/octojoom</x:v>
      </x:c>
      <x:c r="X7" s="20" t="str">
        <x:v>complete source review 29 July 2026</x:v>
      </x:c>
    </x:row>
    <x:row r="8" ht="72" hidden="0" customHeight="1">
      <x:c r="A8" s="18" t="n">
        <x:v>4</x:v>
      </x:c>
      <x:c r="B8" s="19" t="str">
        <x:v>Flagship</x:v>
      </x:c>
      <x:c r="C8" s="18" t="str">
        <x:v>OctoLeo Automation &amp; Deployment</x:v>
      </x:c>
      <x:c r="D8" s="18" t="str">
        <x:v>octoleo/joomengine</x:v>
      </x:c>
      <x:c r="E8" s="20" t="str">
        <x:v>octoleo</x:v>
      </x:c>
      <x:c r="F8" s="51" t="n">
        <x:v>46057</x:v>
      </x:c>
      <x:c r="G8" s="51" t="n">
        <x:v>46212</x:v>
      </x:c>
      <x:c r="H8" s="20" t="str">
        <x:v>Current / source-reviewed at 28 July 2026</x:v>
      </x:c>
      <x:c r="I8" s="52" t="n">
        <x:v>14</x:v>
      </x:c>
      <x:c r="J8" s="52" t="n">
        <x:v>11</x:v>
      </x:c>
      <x:c r="K8" s="52" t="n">
        <x:v>5</x:v>
      </x:c>
      <x:c r="L8" s="52" t="n">
        <x:v>322394</x:v>
      </x:c>
      <x:c r="M8" s="52" t="n">
        <x:v>378593</x:v>
      </x:c>
      <x:c r="N8" s="52" t="n">
        <x:v>700987</x:v>
      </x:c>
      <x:c r="O8" s="52" t="n">
        <x:v>1808</x:v>
      </x:c>
      <x:c r="P8" s="20" t="str">
        <x:v>Docker, Shell/Bash, YAML/CI</x:v>
      </x:c>
      <x:c r="Q8" s="20" t="str">
        <x:v>Creator / lead architect and maintainer</x:v>
      </x:c>
      <x:c r="R8" s="20" t="str">
        <x:v>Senior container, release and build-system engineering</x:v>
      </x:c>
      <x:c r="S8" s="20" t="str">
        <x:v>Official Docker image build system for Joomla Component Builder, generating deterministic image matrices across Joomla, PHP and runtime variants.</x:v>
      </x:c>
      <x:c r="T8" s="20" t="str">
        <x:v>Automates release discovery, hash verification, Dockerfile generation, tag leadership, machine-readable manifests and image publication without hiding the build logic in CI YAML.</x:v>
      </x:c>
      <x:c r="U8" s="20" t="str">
        <x:v>Current repository documentation reviewed to 28 July 2026; retained contribution metrics are from the 18 July 2026 identity-aware audit unless explicitly replaced.</x:v>
      </x:c>
      <x:c r="V8" s="16" t="str">
        <x:v>https://github.com/octoleo/joomengine</x:v>
      </x:c>
      <x:c r="W8" s="16" t="str">
        <x:v>https://github.com/octoleo/joomengine</x:v>
      </x:c>
      <x:c r="X8" s="20" t="str">
        <x:v>current README review + legacy audit</x:v>
      </x:c>
    </x:row>
    <x:row r="9" ht="72" hidden="0" customHeight="1">
      <x:c r="A9" s="18" t="n">
        <x:v>5</x:v>
      </x:c>
      <x:c r="B9" s="19" t="str">
        <x:v>Flagship</x:v>
      </x:c>
      <x:c r="C9" s="18" t="str">
        <x:v>GetBible Scripture Platform</x:v>
      </x:c>
      <x:c r="D9" s="18" t="str">
        <x:v>getbible/librarian</x:v>
      </x:c>
      <x:c r="E9" s="20" t="str">
        <x:v>getbible</x:v>
      </x:c>
      <x:c r="F9" s="51" t="n">
        <x:v>45241</x:v>
      </x:c>
      <x:c r="G9" s="51" t="n">
        <x:v>46223</x:v>
      </x:c>
      <x:c r="H9" s="20" t="str">
        <x:v>Current / source-reviewed at 28 July 2026</x:v>
      </x:c>
      <x:c r="I9" s="52" t="n">
        <x:v>33</x:v>
      </x:c>
      <x:c r="J9" s="52"/>
      <x:c r="K9" s="52"/>
      <x:c r="L9" s="52"/>
      <x:c r="M9" s="52"/>
      <x:c r="N9" s="52"/>
      <x:c r="O9" s="52"/>
      <x:c r="P9" s="20" t="str">
        <x:v>Python, packaging/PyPI, Unicode search, HTTP API integration, caching, YAML/CI</x:v>
      </x:c>
      <x:c r="Q9" s="20" t="str">
        <x:v>Original author, principal architect and maintainer</x:v>
      </x:c>
      <x:c r="R9" s="20" t="str">
        <x:v>Senior Python library, data-retrieval and service architecture</x:v>
      </x:c>
      <x:c r="S9" s="20" t="str">
        <x:v>Python library for resolving scripture references, retrieving verses and performing Unicode-aware searches against GetBible translations.</x:v>
      </x:c>
      <x:c r="T9" s="20" t="str">
        <x:v>Provides reusable reference and search contracts, checksum-verified bounded caches, multi-worker operations, PyPI distribution, and separate Query/Search HTTP service integration.</x:v>
      </x:c>
      <x:c r="U9" s="20" t="str">
        <x:v>Current source review to 20 July 2026: 33 commits in the initial-to-reviewed-head history. Earlier line totals were retired rather than mixed with the current repository state.</x:v>
      </x:c>
      <x:c r="V9" s="16" t="str">
        <x:v>https://github.com/getbible/librarian</x:v>
      </x:c>
      <x:c r="W9" s="16" t="str">
        <x:v>https://github.com/getbible/librarian/commit/17c8013b3cc7ddd05551f2f4772f4eb3cf3134cc</x:v>
      </x:c>
      <x:c r="X9" s="20" t="str">
        <x:v>current source review + legacy audit</x:v>
      </x:c>
    </x:row>
    <x:row r="10" ht="72" hidden="0" customHeight="1">
      <x:c r="A10" s="18" t="n">
        <x:v>6</x:v>
      </x:c>
      <x:c r="B10" s="19" t="str">
        <x:v>Flagship</x:v>
      </x:c>
      <x:c r="C10" s="18" t="str">
        <x:v>Kumwe CMS &amp; Business Platform</x:v>
      </x:c>
      <x:c r="D10" s="18" t="str">
        <x:v>Kumwe/cms</x:v>
      </x:c>
      <x:c r="E10" s="20" t="str">
        <x:v>Kumwe</x:v>
      </x:c>
      <x:c r="F10" s="51" t="n">
        <x:v>44705</x:v>
      </x:c>
      <x:c r="G10" s="51" t="n">
        <x:v>46247</x:v>
      </x:c>
      <x:c r="H10" s="20" t="str">
        <x:v>Active public platform; current source reviewed through 13 August 2026</x:v>
      </x:c>
      <x:c r="I10" s="52" t="n">
        <x:v>331</x:v>
      </x:c>
      <x:c r="J10" s="52" t="n">
        <x:v>11</x:v>
      </x:c>
      <x:c r="K10" s="52" t="n">
        <x:v>2</x:v>
      </x:c>
      <x:c r="L10" s="52" t="n">
        <x:v>455864</x:v>
      </x:c>
      <x:c r="M10" s="52" t="n">
        <x:v>53897</x:v>
      </x:c>
      <x:c r="N10" s="52" t="n">
        <x:v>509761</x:v>
      </x:c>
      <x:c r="O10" s="52" t="n">
        <x:v>2054</x:v>
      </x:c>
      <x:c r="P10" s="20" t="str">
        <x:v>PHP 8.5, Mezzio, Joomla Framework, Doctrine DBAL, Redis, TypeScript, Docker, MCP</x:v>
      </x:c>
      <x:c r="Q10" s="20" t="str">
        <x:v>Principal architect, lead implementer and maintainer</x:v>
      </x:c>
      <x:c r="R10" s="20" t="str">
        <x:v>Principal CMS, business-runtime and integration-platform engineering</x:v>
      </x:c>
      <x:c r="S10" s="20" t="str">
        <x:v>Modern CMS and typed business application platform with governed content, generated operational surfaces, an isolated client portal, durable automation, and one policy model across browser, REST, CLI, MCP, worker, and scheduler paths.</x:v>
      </x:c>
      <x:c r="T10" s="20" t="str">
        <x:v>Demonstrates a coherent application platform spanning content workflows, typed business definitions and records, authorization and approvals, signed extensions, portable persistence, generated interfaces, events, reports, integration tooling, and production operations.</x:v>
      </x:c>
      <x:c r="U10" s="20" t="str">
        <x:v>Current master history, README, documentation index, architecture material, Composer manifest, and source reviewed on 13 August 2026. The dated snapshot records 331 attributable commits across 2,054 unique paths; changed-line totals include generated and delivered artefacts and are not represented as manually typed source.</x:v>
      </x:c>
      <x:c r="V10" s="16" t="str">
        <x:v>https://github.com/kumwe/cms</x:v>
      </x:c>
      <x:c r="W10" s="16" t="str">
        <x:v>https://github.com/kumwe/cms/commit/155a8a9aa9fd3c3aaf0a2acbb19fea58e0cb87fd</x:v>
      </x:c>
      <x:c r="X10" s="20" t="str">
        <x:v>current repository documentation and source review</x:v>
      </x:c>
    </x:row>
    <x:row r="11" ht="72" hidden="0" customHeight="1">
      <x:c r="A11" s="18" t="n">
        <x:v>7</x:v>
      </x:c>
      <x:c r="B11" s="19" t="str">
        <x:v>Flagship</x:v>
      </x:c>
      <x:c r="C11" s="18" t="str">
        <x:v>Official Joomla Container Engineering</x:v>
      </x:c>
      <x:c r="D11" s="18" t="str">
        <x:v>joomla-docker/docker-joomla</x:v>
      </x:c>
      <x:c r="E11" s="20" t="str">
        <x:v>joomla-docker</x:v>
      </x:c>
      <x:c r="F11" s="51" t="n">
        <x:v>44432</x:v>
      </x:c>
      <x:c r="G11" s="51" t="n">
        <x:v>46210</x:v>
      </x:c>
      <x:c r="H11" s="20" t="str">
        <x:v>Current/present-day public activity evidenced in 2026</x:v>
      </x:c>
      <x:c r="I11" s="52" t="n">
        <x:v>185</x:v>
      </x:c>
      <x:c r="J11" s="52" t="n">
        <x:v>82</x:v>
      </x:c>
      <x:c r="K11" s="52" t="n">
        <x:v>50</x:v>
      </x:c>
      <x:c r="L11" s="52" t="n">
        <x:v>85873</x:v>
      </x:c>
      <x:c r="M11" s="52" t="n">
        <x:v>68523</x:v>
      </x:c>
      <x:c r="N11" s="52" t="n">
        <x:v>154396</x:v>
      </x:c>
      <x:c r="O11" s="52" t="n">
        <x:v>763</x:v>
      </x:c>
      <x:c r="P11" s="20" t="str">
        <x:v>Shell/Bash, PHP</x:v>
      </x:c>
      <x:c r="Q11" s="20" t="str">
        <x:v>Official Joomla Docker maintainer and senior contributor</x:v>
      </x:c>
      <x:c r="R11" s="20" t="str">
        <x:v>Senior</x:v>
      </x:c>
      <x:c r="S11" s="20" t="str">
        <x:v>Official Docker image source for Joomla; matched work covers multi-version Dockerfiles, entrypoints, PHP configuration, build automation, and maintenance.</x:v>
      </x:c>
      <x:c r="T11" s="20" t="str">
        <x:v>Contributes directly to the official container distribution path used to run Joomla across supported PHP and web-server variants.</x:v>
      </x:c>
      <x:c r="U11" s="20" t="str">
        <x:v>Canonical inclusion refreshed 28 July 2026. Contribution metrics are the identity-aware repository snapshot from 18 July 2026 and must not be summed across repositories.</x:v>
      </x:c>
      <x:c r="V11" s="16" t="str">
        <x:v>https://github.com/joomla-docker/docker-joomla</x:v>
      </x:c>
      <x:c r="W11" s="16" t="str">
        <x:v>https://github.com/joomla-docker/docker-joomla</x:v>
      </x:c>
      <x:c r="X11" s="20" t="str">
        <x:v>primary</x:v>
      </x:c>
    </x:row>
    <x:row r="12" ht="72" hidden="0" customHeight="1">
      <x:c r="A12" s="18" t="n">
        <x:v>8</x:v>
      </x:c>
      <x:c r="B12" s="19" t="str">
        <x:v>Flagship</x:v>
      </x:c>
      <x:c r="C12" s="18" t="str">
        <x:v>GetBible Scripture Platform</x:v>
      </x:c>
      <x:c r="D12" s="18" t="str">
        <x:v>getbible/robot</x:v>
      </x:c>
      <x:c r="E12" s="20" t="str">
        <x:v>getbible</x:v>
      </x:c>
      <x:c r="F12" s="51" t="n">
        <x:v>43863</x:v>
      </x:c>
      <x:c r="G12" s="51" t="n">
        <x:v>46232</x:v>
      </x:c>
      <x:c r="H12" s="20" t="str">
        <x:v>Current/present-day public activity evidenced through 29 July 2026</x:v>
      </x:c>
      <x:c r="I12" s="52"/>
      <x:c r="J12" s="52"/>
      <x:c r="K12" s="52"/>
      <x:c r="L12" s="52"/>
      <x:c r="M12" s="52"/>
      <x:c r="N12" s="52"/>
      <x:c r="O12" s="52"/>
      <x:c r="P12" s="20" t="str">
        <x:v>Python, TypeScript/JavaScript, HTML/CSS, Docker/Compose, systemd, Caddy, Telegram Mini Apps, YAML/CI</x:v>
      </x:c>
      <x:c r="Q12" s="20" t="str">
        <x:v>Project architect, principal implementer and maintainer</x:v>
      </x:c>
      <x:c r="R12" s="20" t="str">
        <x:v>Senior public-service, security, deployment and interaction engineering</x:v>
      </x:c>
      <x:c r="S12" s="20" t="str">
        <x:v>Hardened Telegram Scripture service with immediate reference delivery, authenticated private Mini App navigation and search, bounded multi-selection, responsive/fullscreen reader UX, persistent translations, polling/webhook operation, and container or systemd deployment.</x:v>
      </x:c>
      <x:c r="T12" s="20" t="str">
        <x:v>Demonstrates public-service reliability, hostile-input boundaries, asynchronous Python, signed web-app authorization, accessible responsive interaction, browser regression testing, Docker/Compose distribution, and operational hardening.</x:v>
      </x:c>
      <x:c r="U12" s="20" t="str">
        <x:v>Current qualitative review through 29 July 2026. Robot 2.1.0 Linux AMD64/ARM64 images and release-pinned Compose delivery are documented. The obsolete historical two-commit figure remains retired; no replacement total is guessed.</x:v>
      </x:c>
      <x:c r="V12" s="16" t="str">
        <x:v>https://github.com/getbible/robot</x:v>
      </x:c>
      <x:c r="W12" s="16" t="str">
        <x:v>https://github.com/getbible/robot/commit/fb39b3ec6ddd8009382562d636f258d30019cb65</x:v>
      </x:c>
      <x:c r="X12" s="20" t="str">
        <x:v>current qualitative source review; full commit recount intentionally not fabricated</x:v>
      </x:c>
    </x:row>
    <x:row r="13" ht="72" hidden="0" customHeight="1">
      <x:c r="A13" s="18" t="n">
        <x:v>9</x:v>
      </x:c>
      <x:c r="B13" s="19" t="str">
        <x:v>Flagship</x:v>
      </x:c>
      <x:c r="C13" s="18" t="str">
        <x:v>GetBible Scripture Platform</x:v>
      </x:c>
      <x:c r="D13" s="18" t="str">
        <x:v>getbible/sword</x:v>
      </x:c>
      <x:c r="E13" s="20" t="str">
        <x:v>getbible</x:v>
      </x:c>
      <x:c r="F13" s="51" t="n">
        <x:v>46226</x:v>
      </x:c>
      <x:c r="G13" s="51" t="n">
        <x:v>46229</x:v>
      </x:c>
      <x:c r="H13" s="20" t="str">
        <x:v>Current / source-reviewed at 28 July 2026</x:v>
      </x:c>
      <x:c r="I13" s="52" t="n">
        <x:v>41</x:v>
      </x:c>
      <x:c r="J13" s="52"/>
      <x:c r="K13" s="52" t="n">
        <x:v>1</x:v>
      </x:c>
      <x:c r="L13" s="52"/>
      <x:c r="M13" s="52"/>
      <x:c r="N13" s="52"/>
      <x:c r="O13" s="52"/>
      <x:c r="P13" s="20" t="str">
        <x:v>C, C++, PHP extension APIs, Shell/Bash, Autotools, CMake, YAML/CI</x:v>
      </x:c>
      <x:c r="Q13" s="20" t="str">
        <x:v>Principal architect, native-integration engineer and maintainer</x:v>
      </x:c>
      <x:c r="R13" s="20" t="str">
        <x:v>Senior native/PHP integration and release engineering</x:v>
      </x:c>
      <x:c r="S13" s="20" t="str">
        <x:v>Native PHP extension exposing the released getBibleSword C ABI directly to PHP without a subprocess or ambient SWORD shared-library dependency.</x:v>
      </x:c>
      <x:c r="T13" s="20" t="str">
        <x:v>Demonstrates C/C++ and Zend/PHP extension work, deterministic dependency pinning, PIE packaging, streamed APIs, PHPT coverage, architecture documentation and reproducible golden release evidence.</x:v>
      </x:c>
      <x:c r="U13" s="20" t="str">
        <x:v>Current source review to 28 July 2026. Commit count is the exact initial-to-reviewed-head comparison; additions/deletions were intentionally left blank because the comparison response is not a complete churn ledger.</x:v>
      </x:c>
      <x:c r="V13" s="16" t="str">
        <x:v>https://github.com/getbible/sword</x:v>
      </x:c>
      <x:c r="W13" s="16" t="str">
        <x:v>https://github.com/getbible/sword/commit/4d078c4be04e146ed95e38b9a450379571f231d7</x:v>
      </x:c>
      <x:c r="X13" s="20" t="str">
        <x:v>current source review</x:v>
      </x:c>
    </x:row>
    <x:row r="14" ht="72" hidden="0" customHeight="1">
      <x:c r="A14" s="18" t="n">
        <x:v>10</x:v>
      </x:c>
      <x:c r="B14" s="19" t="str">
        <x:v>Flagship</x:v>
      </x:c>
      <x:c r="C14" s="18" t="str">
        <x:v>GetBible Scripture Platform</x:v>
      </x:c>
      <x:c r="D14" s="18" t="str">
        <x:v>getbible/scripture</x:v>
      </x:c>
      <x:c r="E14" s="20" t="str">
        <x:v>getbible</x:v>
      </x:c>
      <x:c r="F14" s="51" t="n">
        <x:v>46229</x:v>
      </x:c>
      <x:c r="G14" s="51" t="n">
        <x:v>46229</x:v>
      </x:c>
      <x:c r="H14" s="20" t="str">
        <x:v>Current / source-reviewed at 28 July 2026</x:v>
      </x:c>
      <x:c r="I14" s="52" t="n">
        <x:v>23</x:v>
      </x:c>
      <x:c r="J14" s="52"/>
      <x:c r="K14" s="52" t="n">
        <x:v>1</x:v>
      </x:c>
      <x:c r="L14" s="52"/>
      <x:c r="M14" s="52"/>
      <x:c r="N14" s="52"/>
      <x:c r="O14" s="52"/>
      <x:c r="P14" s="20" t="str">
        <x:v>PHP, Composer, Joomla Framework, native extension integration, Shell/Bash, YAML/CI</x:v>
      </x:c>
      <x:c r="Q14" s="20" t="str">
        <x:v>Principal application-layer architect and maintainer</x:v>
      </x:c>
      <x:c r="R14" s="20" t="str">
        <x:v>Senior PHP architecture, data-contract and concurrency engineering</x:v>
      </x:c>
      <x:c r="S14" s="20" t="str">
        <x:v>Object-oriented Bible application layer for the native getbible/sword extension, providing validated immutable and lazy Translation, Book, Chapter and Verse objects.</x:v>
      </x:c>
      <x:c r="T14" s="20" t="str">
        <x:v>Adds contract validation, immutable snapshots, bounded locking, durable refresh state, console commands and Joomla scheduled-task integration without loading an entire Bible graph into each PHP process.</x:v>
      </x:c>
      <x:c r="U14" s="20" t="str">
        <x:v>Current source review to 28 July 2026. Commit count is the exact initial-to-reviewed-head comparison; additions/deletions were intentionally left blank because the comparison response is not a complete churn ledger.</x:v>
      </x:c>
      <x:c r="V14" s="16" t="str">
        <x:v>https://github.com/getbible/scripture</x:v>
      </x:c>
      <x:c r="W14" s="16" t="str">
        <x:v>https://github.com/getbible/scripture/commit/a7e10809e2fceebdcc50fb68b6fc11b5212e92bf</x:v>
      </x:c>
      <x:c r="X14" s="20" t="str">
        <x:v>current source review</x:v>
      </x:c>
    </x:row>
    <x:row r="15" ht="72" hidden="0" customHeight="1">
      <x:c r="A15" s="18" t="n">
        <x:v>11</x:v>
      </x:c>
      <x:c r="B15" s="19" t="str">
        <x:v>Flagship</x:v>
      </x:c>
      <x:c r="C15" s="18" t="str">
        <x:v>VDM Platforms &amp; Applied AI</x:v>
      </x:c>
      <x:c r="D15" s="18" t="str">
        <x:v>vast-development-method/opencode-platform</x:v>
      </x:c>
      <x:c r="E15" s="20" t="str">
        <x:v>vast-development-method</x:v>
      </x:c>
      <x:c r="F15" s="51" t="n">
        <x:v>46225</x:v>
      </x:c>
      <x:c r="G15" s="51" t="n">
        <x:v>46232</x:v>
      </x:c>
      <x:c r="H15" s="20" t="str">
        <x:v>Current/present-day public activity evidenced through 29 July 2026</x:v>
      </x:c>
      <x:c r="I15" s="52" t="n">
        <x:v>41</x:v>
      </x:c>
      <x:c r="J15" s="52"/>
      <x:c r="K15" s="52" t="n">
        <x:v>1</x:v>
      </x:c>
      <x:c r="L15" s="52"/>
      <x:c r="M15" s="52"/>
      <x:c r="N15" s="52"/>
      <x:c r="O15" s="52"/>
      <x:c r="P15" s="20" t="str">
        <x:v>Shell/Bash, Python, YAML, Incus, systemd, Docker/OCI, TypeScript tooling</x:v>
      </x:c>
      <x:c r="Q15" s="20" t="str">
        <x:v>Platform architect, principal implementer and maintainer</x:v>
      </x:c>
      <x:c r="R15" s="20" t="str">
        <x:v>Senior / principal platform and infrastructure engineering</x:v>
      </x:c>
      <x:c r="S15" s="20" t="str">
        <x:v>Version-controlled platform authority for hardened OpenCode agent VMs on Incus, six Ubuntu 24.04 image variants, manifest-owned composition and capacity rules, credentials/network boundaries, reproducible artifacts, and controlled Joomla MCP integration.</x:v>
      </x:c>
      <x:c r="T15" s="20" t="str">
        <x:v>Demonstrates secure agent-platform architecture across image generation, network policy, runtime credentials, SBOM/provenance, release promotion and Joomla MCP integration in PHP/full images.</x:v>
      </x:c>
      <x:c r="U15" s="20" t="str">
        <x:v>Complete default-branch history contains 41 commits through 29 July 2026. The public README documents @joomengine/joomla-mcp 0.7.0 in PHP/full images, capacity-safe builds, package round-trip evidence, and explicit production gates.</x:v>
      </x:c>
      <x:c r="V15" s="16" t="str">
        <x:v>https://github.com/vast-development-method/opencode-platform</x:v>
      </x:c>
      <x:c r="W15" s="16" t="str">
        <x:v>https://github.com/vast-development-method/opencode-platform/commit/2d6b53ae05c05f505607458e325d057d9a10d55f</x:v>
      </x:c>
      <x:c r="X15" s="20" t="str">
        <x:v>current source review</x:v>
      </x:c>
    </x:row>
    <x:row r="16" ht="72" hidden="0" customHeight="1">
      <x:c r="A16" s="18" t="n">
        <x:v>12</x:v>
      </x:c>
      <x:c r="B16" s="19" t="str">
        <x:v>Flagship</x:v>
      </x:c>
      <x:c r="C16" s="18" t="str">
        <x:v>VDM Platforms &amp; Applied AI</x:v>
      </x:c>
      <x:c r="D16" s="18" t="str">
        <x:v>vast-development-method/colibri-setup</x:v>
      </x:c>
      <x:c r="E16" s="20" t="str">
        <x:v>vast-development-method</x:v>
      </x:c>
      <x:c r="F16" s="51" t="n">
        <x:v>46230</x:v>
      </x:c>
      <x:c r="G16" s="51" t="n">
        <x:v>46232</x:v>
      </x:c>
      <x:c r="H16" s="20" t="str">
        <x:v>Current/present-day public activity evidenced through 29 July 2026</x:v>
      </x:c>
      <x:c r="I16" s="52" t="n">
        <x:v>53</x:v>
      </x:c>
      <x:c r="J16" s="52"/>
      <x:c r="K16" s="52" t="n">
        <x:v>1</x:v>
      </x:c>
      <x:c r="L16" s="52"/>
      <x:c r="M16" s="52"/>
      <x:c r="N16" s="52"/>
      <x:c r="O16" s="52"/>
      <x:c r="P16" s="20" t="str">
        <x:v>Shell/Bash, C/C++ build tooling, systemd, Node.js, Docker networking, OpenAI-compatible APIs</x:v>
      </x:c>
      <x:c r="Q16" s="20" t="str">
        <x:v>Systems architect, principal implementer and maintainer</x:v>
      </x:c>
      <x:c r="R16" s="20" t="str">
        <x:v>Senior systems, deployment and local-AI infrastructure engineering</x:v>
      </x:c>
      <x:c r="S16" s="20" t="str">
        <x:v>Operator-focused CPU/NVMe Colibri deployment toolkit with GPU exclusion, host-derived resource profiles capped at 80% of available RAM, checksum verification and surgical repair, validated physical multi-NVMe reads, systemd lifecycle, and Open WebUI integration.</x:v>
      </x:c>
      <x:c r="T16" s="20" t="str">
        <x:v>Shows resource-aware local-model deployment, resumable large-model acquisition, checksum verification and repair, multi-NVMe operation, systemd lifecycle management and Open WebUI integration.</x:v>
      </x:c>
      <x:c r="U16" s="20" t="str">
        <x:v>Complete default-branch history contains 53 commits through 29 July 2026. Current source verifies adaptive RAM safety ceilings, CPU-only startup contracts, custom-profile hardening, deterministic tests, and preserved model weights during lifecycle operations.</x:v>
      </x:c>
      <x:c r="V16" s="16" t="str">
        <x:v>https://github.com/vast-development-method/colibri-setup</x:v>
      </x:c>
      <x:c r="W16" s="16" t="str">
        <x:v>https://github.com/vast-development-method/colibri-setup/commit/98d11b2785d65789b80a6d9ffcb0bff620ee3511</x:v>
      </x:c>
      <x:c r="X16" s="20" t="str">
        <x:v>current source review</x:v>
      </x:c>
    </x:row>
    <x:row r="17" ht="72" hidden="0" customHeight="1">
      <x:c r="A17" s="23" t="n">
        <x:v>13</x:v>
      </x:c>
      <x:c r="B17" s="24" t="str">
        <x:v>Flagship</x:v>
      </x:c>
      <x:c r="C17" s="23" t="str">
        <x:v>GetBible Scripture Platform</x:v>
      </x:c>
      <x:c r="D17" s="23" t="str">
        <x:v>getbible/v3_builder</x:v>
      </x:c>
      <x:c r="E17" s="20" t="str">
        <x:v>getbible</x:v>
      </x:c>
      <x:c r="F17" s="51" t="n">
        <x:v>44306</x:v>
      </x:c>
      <x:c r="G17" s="51" t="n">
        <x:v>46227</x:v>
      </x:c>
      <x:c r="H17" s="20" t="str">
        <x:v>Current/present-day public activity evidenced through 24 July 2026</x:v>
      </x:c>
      <x:c r="I17" s="52" t="n">
        <x:v>307</x:v>
      </x:c>
      <x:c r="J17" s="52" t="n">
        <x:v>249</x:v>
      </x:c>
      <x:c r="K17" s="52" t="n">
        <x:v>57</x:v>
      </x:c>
      <x:c r="L17" s="52" t="n">
        <x:v>18893</x:v>
      </x:c>
      <x:c r="M17" s="52" t="n">
        <x:v>4614</x:v>
      </x:c>
      <x:c r="N17" s="52" t="n">
        <x:v>23507</x:v>
      </x:c>
      <x:c r="O17" s="52" t="n">
        <x:v>134</x:v>
      </x:c>
      <x:c r="P17" s="20" t="str">
        <x:v>Python, Shell/Bash</x:v>
      </x:c>
      <x:c r="Q17" s="20" t="str">
        <x:v>Principal pipeline architect and maintainer</x:v>
      </x:c>
      <x:c r="R17" s="20" t="str">
        <x:v>Senior</x:v>
      </x:c>
      <x:c r="S17" s="20" t="str">
        <x:v>SOLID Python 3.12 build pipeline converting SWORD modules into API v3 with token/span annotations, deterministic hashing, publication automation, and a large contract test suite.</x:v>
      </x:c>
      <x:c r="T17" s="20" t="str">
        <x:v>Turns upstream SWORD modules into deterministic, testable and distributable scripture APIs instead of hand-maintained datasets.</x:v>
      </x:c>
      <x:c r="U17" s="20" t="str">
        <x:v>Canonical inclusion refreshed 29 July 2026. Contribution metrics remain the identity-aware 18 July 2026 snapshot; source review through 24 July confirms chapter editorial schema work, CrossWire editorial projection, and native publication safeguards.</x:v>
      </x:c>
      <x:c r="V17" s="16" t="str">
        <x:v>https://github.com/getbible/v3_builder</x:v>
      </x:c>
      <x:c r="W17" s="16" t="str">
        <x:v>https://github.com/getbible/v3_builder/commit/ddd727f15f0dfec7587227693b7135631dc77b82</x:v>
      </x:c>
      <x:c r="X17" s="20" t="str">
        <x:v>primary</x:v>
      </x:c>
    </x:row>
    <x:row r="18" ht="72" hidden="0" customHeight="1">
      <x:c r="A18" s="23" t="n">
        <x:v>14</x:v>
      </x:c>
      <x:c r="B18" s="24" t="str">
        <x:v>Major</x:v>
      </x:c>
      <x:c r="C18" s="23" t="str">
        <x:v>Joomla Component Builder &amp; JoomEngine</x:v>
      </x:c>
      <x:c r="D18" s="23" t="str">
        <x:v>joomengine/gitea</x:v>
      </x:c>
      <x:c r="E18" s="20" t="str">
        <x:v>joomengine</x:v>
      </x:c>
      <x:c r="F18" s="51" t="n">
        <x:v>45031</x:v>
      </x:c>
      <x:c r="G18" s="51" t="n">
        <x:v>46105</x:v>
      </x:c>
      <x:c r="H18" s="20" t="str">
        <x:v>Current/present-day public activity evidenced in 2026</x:v>
      </x:c>
      <x:c r="I18" s="52" t="n">
        <x:v>24</x:v>
      </x:c>
      <x:c r="J18" s="52" t="n">
        <x:v>22</x:v>
      </x:c>
      <x:c r="K18" s="52" t="n">
        <x:v>16</x:v>
      </x:c>
      <x:c r="L18" s="52" t="n">
        <x:v>52585</x:v>
      </x:c>
      <x:c r="M18" s="52" t="n">
        <x:v>8039</x:v>
      </x:c>
      <x:c r="N18" s="52" t="n">
        <x:v>60624</x:v>
      </x:c>
      <x:c r="O18" s="52" t="n">
        <x:v>459</x:v>
      </x:c>
      <x:c r="P18" s="20" t="str">
        <x:v>PHP</x:v>
      </x:c>
      <x:c r="Q18" s="20" t="str">
        <x:v>JCB ecosystem architect, registry maintainer and release contributor</x:v>
      </x:c>
      <x:c r="R18" s="20" t="str">
        <x:v>Senior</x:v>
      </x:c>
      <x:c r="S18" s="20" t="str">
        <x:v>Reusable JCB Super Power registry for typed Gitea API and repository-integration services.</x:v>
      </x:c>
      <x:c r="T18" s="20" t="str">
        <x:v>Provides versioned Git-forge integration capabilities that can be injected into generated Joomla systems through stable JCB keys.</x:v>
      </x:c>
      <x:c r="U18" s="20" t="str">
        <x:v>Canonical inclusion refreshed 28 July 2026. Contribution metrics are the identity-aware repository snapshot from 18 July 2026 and must not be summed across repositories.</x:v>
      </x:c>
      <x:c r="V18" s="16" t="str">
        <x:v>https://github.com/joomengine/gitea</x:v>
      </x:c>
      <x:c r="W18" s="16" t="str">
        <x:v>https://github.com/joomengine/gitea</x:v>
      </x:c>
      <x:c r="X18" s="20" t="str">
        <x:v>primary</x:v>
      </x:c>
    </x:row>
    <x:row r="19" ht="72" hidden="0" customHeight="1">
      <x:c r="A19" s="23" t="n">
        <x:v>15</x:v>
      </x:c>
      <x:c r="B19" s="24" t="str">
        <x:v>Major</x:v>
      </x:c>
      <x:c r="C19" s="23" t="str">
        <x:v>Joomla Component Builder &amp; JoomEngine</x:v>
      </x:c>
      <x:c r="D19" s="23" t="str">
        <x:v>joomengine/joomla-powers</x:v>
      </x:c>
      <x:c r="E19" s="20" t="str">
        <x:v>joomengine</x:v>
      </x:c>
      <x:c r="F19" s="51" t="n">
        <x:v>45489</x:v>
      </x:c>
      <x:c r="G19" s="51" t="n">
        <x:v>45995</x:v>
      </x:c>
      <x:c r="H19" s="20" t="str">
        <x:v>Recent public activity; latest attributable commit 2025-12-04</x:v>
      </x:c>
      <x:c r="I19" s="52" t="n">
        <x:v>1098</x:v>
      </x:c>
      <x:c r="J19" s="52" t="n">
        <x:v>17</x:v>
      </x:c>
      <x:c r="K19" s="52" t="n">
        <x:v>10</x:v>
      </x:c>
      <x:c r="L19" s="52" t="n">
        <x:v>27719</x:v>
      </x:c>
      <x:c r="M19" s="52" t="n">
        <x:v>118</x:v>
      </x:c>
      <x:c r="N19" s="52" t="n">
        <x:v>27837</x:v>
      </x:c>
      <x:c r="O19" s="52" t="n">
        <x:v>1022</x:v>
      </x:c>
      <x:c r="P19" s="20" t="str">
        <x:v>PHP, JSON, Joomla 3–6, generated registries</x:v>
      </x:c>
      <x:c r="Q19" s="20" t="str">
        <x:v>JCB ecosystem architect, registry maintainer and release contributor</x:v>
      </x:c>
      <x:c r="R19" s="20" t="str">
        <x:v>Senior</x:v>
      </x:c>
      <x:c r="S19" s="20" t="str">
        <x:v>Version-aware registry that lets JCB resolve Joomla classes and namespaces across CMS generations without hard-coded imports.</x:v>
      </x:c>
      <x:c r="T19" s="20" t="str">
        <x:v>Encodes cross-version compatibility as reusable data and services, reducing migration friction across generated applications.</x:v>
      </x:c>
      <x:c r="U19" s="20" t="str">
        <x:v>Canonical inclusion refreshed 28 July 2026. Contribution metrics are the identity-aware repository snapshot from 18 July 2026 and must not be summed across repositories.</x:v>
      </x:c>
      <x:c r="V19" s="16" t="str">
        <x:v>https://github.com/joomengine/joomla-powers</x:v>
      </x:c>
      <x:c r="W19" s="16" t="str">
        <x:v>https://github.com/joomengine/joomla-powers</x:v>
      </x:c>
      <x:c r="X19" s="20" t="str">
        <x:v>primary</x:v>
      </x:c>
    </x:row>
    <x:row r="20" ht="72" hidden="0" customHeight="1">
      <x:c r="A20" s="23" t="n">
        <x:v>16</x:v>
      </x:c>
      <x:c r="B20" s="24" t="str">
        <x:v>Major</x:v>
      </x:c>
      <x:c r="C20" s="23" t="str">
        <x:v>Joomla Component Builder &amp; JoomEngine</x:v>
      </x:c>
      <x:c r="D20" s="23" t="str">
        <x:v>joomengine/Joomla-Service-Directory</x:v>
      </x:c>
      <x:c r="E20" s="20" t="str">
        <x:v>joomengine</x:v>
      </x:c>
      <x:c r="F20" s="51" t="n">
        <x:v>45947</x:v>
      </x:c>
      <x:c r="G20" s="51" t="n">
        <x:v>45995</x:v>
      </x:c>
      <x:c r="H20" s="20" t="str">
        <x:v>Recent public activity; latest attributable commit 2025-12-04</x:v>
      </x:c>
      <x:c r="I20" s="52" t="n">
        <x:v>19</x:v>
      </x:c>
      <x:c r="J20" s="52" t="n">
        <x:v>5</x:v>
      </x:c>
      <x:c r="K20" s="52" t="n">
        <x:v>3</x:v>
      </x:c>
      <x:c r="L20" s="52" t="n">
        <x:v>1135700</x:v>
      </x:c>
      <x:c r="M20" s="52" t="n">
        <x:v>28680</x:v>
      </x:c>
      <x:c r="N20" s="52" t="n">
        <x:v>1164380</x:v>
      </x:c>
      <x:c r="O20" s="52" t="n">
        <x:v>1205</x:v>
      </x:c>
      <x:c r="P20" s="20" t="str">
        <x:v>PHP, HTML, CSS, JavaScript, SQL</x:v>
      </x:c>
      <x:c r="Q20" s="20" t="str">
        <x:v>Build, repository and release contributor; not represented as sole component author</x:v>
      </x:c>
      <x:c r="R20" s="20" t="str">
        <x:v>Senior</x:v>
      </x:c>
      <x:c r="S20" s="20" t="str">
        <x:v>Generated Joomla 6 service-provider directory component. The repository README names Lemuel van der Merwe as component author; Llewellyn’s matched commits evidence build/import/release contribution rather than sole authorship.</x:v>
      </x:c>
      <x:c r="T20" s="20" t="str">
        <x:v>Demonstrates complete production application delivery, including data model, backend, frontend, access control, assets, packaging, and upgrade paths.</x:v>
      </x:c>
      <x:c r="U20" s="20" t="str">
        <x:v>Canonical inclusion refreshed 28 July 2026. Contribution metrics are the identity-aware repository snapshot from 18 July 2026 and must not be summed across repositories.</x:v>
      </x:c>
      <x:c r="V20" s="16" t="str">
        <x:v>https://github.com/joomengine/Joomla-Service-Directory</x:v>
      </x:c>
      <x:c r="W20" s="16" t="str">
        <x:v>https://github.com/joomengine/Joomla-Service-Directory</x:v>
      </x:c>
      <x:c r="X20" s="20" t="str">
        <x:v>primary</x:v>
      </x:c>
    </x:row>
    <x:row r="21" ht="72" hidden="0" customHeight="1">
      <x:c r="A21" s="23" t="n">
        <x:v>17</x:v>
      </x:c>
      <x:c r="B21" s="24" t="str">
        <x:v>Major</x:v>
      </x:c>
      <x:c r="C21" s="23" t="str">
        <x:v>Joomla Component Builder &amp; JoomEngine</x:v>
      </x:c>
      <x:c r="D21" s="23" t="str">
        <x:v>joomengine/packages</x:v>
      </x:c>
      <x:c r="E21" s="20" t="str">
        <x:v>joomengine</x:v>
      </x:c>
      <x:c r="F21" s="51" t="n">
        <x:v>45826</x:v>
      </x:c>
      <x:c r="G21" s="51" t="n">
        <x:v>46197</x:v>
      </x:c>
      <x:c r="H21" s="20" t="str">
        <x:v>Current/present-day public activity evidenced in 2026</x:v>
      </x:c>
      <x:c r="I21" s="52" t="n">
        <x:v>2629</x:v>
      </x:c>
      <x:c r="J21" s="52" t="n">
        <x:v>11</x:v>
      </x:c>
      <x:c r="K21" s="52" t="n">
        <x:v>6</x:v>
      </x:c>
      <x:c r="L21" s="52" t="n">
        <x:v>106571</x:v>
      </x:c>
      <x:c r="M21" s="52" t="n">
        <x:v>3564</x:v>
      </x:c>
      <x:c r="N21" s="52" t="n">
        <x:v>110135</x:v>
      </x:c>
      <x:c r="O21" s="52" t="n">
        <x:v>1088</x:v>
      </x:c>
      <x:c r="P21" s="20" t="str">
        <x:v>PHP</x:v>
      </x:c>
      <x:c r="Q21" s="20" t="str">
        <x:v>JCB ecosystem architect, registry maintainer and release contributor</x:v>
      </x:c>
      <x:c r="R21" s="20" t="str">
        <x:v>Senior</x:v>
      </x:c>
      <x:c r="S21" s="20" t="str">
        <x:v>Machine-readable JCB blueprint registry from which complete Joomla extensions can be compiled, installed and evolved.</x:v>
      </x:c>
      <x:c r="T21" s="20" t="str">
        <x:v>Separates reusable application models from generated delivery and supports repeatable, maintainable extension production.</x:v>
      </x:c>
      <x:c r="U21" s="20" t="str">
        <x:v>Canonical inclusion refreshed 28 July 2026. Contribution metrics are the identity-aware repository snapshot from 18 July 2026 and must not be summed across repositories.</x:v>
      </x:c>
      <x:c r="V21" s="16" t="str">
        <x:v>https://github.com/joomengine/packages</x:v>
      </x:c>
      <x:c r="W21" s="16" t="str">
        <x:v>https://github.com/joomengine/packages</x:v>
      </x:c>
      <x:c r="X21" s="20" t="str">
        <x:v>primary</x:v>
      </x:c>
    </x:row>
    <x:row r="22" ht="72" hidden="0" customHeight="1">
      <x:c r="A22" s="23" t="n">
        <x:v>18</x:v>
      </x:c>
      <x:c r="B22" s="24" t="str">
        <x:v>Major</x:v>
      </x:c>
      <x:c r="C22" s="23" t="str">
        <x:v>Joomla Component Builder &amp; JoomEngine</x:v>
      </x:c>
      <x:c r="D22" s="23" t="str">
        <x:v>joomengine/super-powers</x:v>
      </x:c>
      <x:c r="E22" s="20" t="str">
        <x:v>joomengine</x:v>
      </x:c>
      <x:c r="F22" s="51" t="n">
        <x:v>45007</x:v>
      </x:c>
      <x:c r="G22" s="51" t="n">
        <x:v>46071</x:v>
      </x:c>
      <x:c r="H22" s="20" t="str">
        <x:v>Current/present-day public activity evidenced in 2026</x:v>
      </x:c>
      <x:c r="I22" s="52" t="n">
        <x:v>330</x:v>
      </x:c>
      <x:c r="J22" s="52" t="n">
        <x:v>95</x:v>
      </x:c>
      <x:c r="K22" s="52" t="n">
        <x:v>28</x:v>
      </x:c>
      <x:c r="L22" s="52" t="n">
        <x:v>185031</x:v>
      </x:c>
      <x:c r="M22" s="52" t="n">
        <x:v>76059</x:v>
      </x:c>
      <x:c r="N22" s="52" t="n">
        <x:v>261090</x:v>
      </x:c>
      <x:c r="O22" s="52" t="n">
        <x:v>756</x:v>
      </x:c>
      <x:c r="P22" s="20" t="str">
        <x:v>PHP</x:v>
      </x:c>
      <x:c r="Q22" s="20" t="str">
        <x:v>JCB ecosystem architect, registry maintainer and release contributor</x:v>
      </x:c>
      <x:c r="R22" s="20" t="str">
        <x:v>Senior</x:v>
      </x:c>
      <x:c r="S22" s="20" t="str">
        <x:v>Central registry of reusable namespaced PHP classes, interfaces, traits and abstractions managed by JCB and injected through stable identifiers.</x:v>
      </x:c>
      <x:c r="T22" s="20" t="str">
        <x:v>Creates a shared architectural layer across generated projects and demonstrates ecosystem-scale dependency design.</x:v>
      </x:c>
      <x:c r="U22" s="20" t="str">
        <x:v>Canonical inclusion refreshed 28 July 2026. Contribution metrics are the identity-aware repository snapshot from 18 July 2026 and must not be summed across repositories.</x:v>
      </x:c>
      <x:c r="V22" s="16" t="str">
        <x:v>https://github.com/joomengine/super-powers</x:v>
      </x:c>
      <x:c r="W22" s="16" t="str">
        <x:v>https://github.com/joomengine/super-powers</x:v>
      </x:c>
      <x:c r="X22" s="20" t="str">
        <x:v>primary</x:v>
      </x:c>
    </x:row>
    <x:row r="23" ht="72" hidden="0" customHeight="1">
      <x:c r="A23" s="23" t="n">
        <x:v>19</x:v>
      </x:c>
      <x:c r="B23" s="24" t="str">
        <x:v>Major</x:v>
      </x:c>
      <x:c r="C23" s="23" t="str">
        <x:v>GetBible Scripture Platform</x:v>
      </x:c>
      <x:c r="D23" s="23" t="str">
        <x:v>getbible/desktop</x:v>
      </x:c>
      <x:c r="E23" s="20" t="str">
        <x:v>getbible</x:v>
      </x:c>
      <x:c r="F23" s="51" t="n">
        <x:v>46220</x:v>
      </x:c>
      <x:c r="G23" s="51" t="n">
        <x:v>46221</x:v>
      </x:c>
      <x:c r="H23" s="20" t="str">
        <x:v>Current/present-day public activity evidenced in 2026</x:v>
      </x:c>
      <x:c r="I23" s="52" t="n">
        <x:v>67</x:v>
      </x:c>
      <x:c r="J23" s="52" t="n">
        <x:v>2</x:v>
      </x:c>
      <x:c r="K23" s="52" t="n">
        <x:v>1</x:v>
      </x:c>
      <x:c r="L23" s="52" t="n">
        <x:v>4005</x:v>
      </x:c>
      <x:c r="M23" s="52" t="n">
        <x:v>191</x:v>
      </x:c>
      <x:c r="N23" s="52" t="n">
        <x:v>4196</x:v>
      </x:c>
      <x:c r="O23" s="52" t="n">
        <x:v>48</x:v>
      </x:c>
      <x:c r="P23" s="20" t="str">
        <x:v>Shell/Bash, Python</x:v>
      </x:c>
      <x:c r="Q23" s="20" t="str">
        <x:v>Project owner and lead engineering contributor</x:v>
      </x:c>
      <x:c r="R23" s="20" t="str">
        <x:v>Senior</x:v>
      </x:c>
      <x:c r="S23" s="20" t="str">
        <x:v>Configurable cross-platform native C++ WebView shell and packaging pipeline for Linux, Windows, and macOS GetBible desktop applications.</x:v>
      </x:c>
      <x:c r="T23" s="20" t="str">
        <x:v>Extends the GetBible platform into maintained end-user application surfaces and cross-platform distribution.</x:v>
      </x:c>
      <x:c r="U23" s="20" t="str">
        <x:v>Canonical inclusion refreshed 28 July 2026. Contribution metrics are the identity-aware repository snapshot from 18 July 2026 and must not be summed across repositories.</x:v>
      </x:c>
      <x:c r="V23" s="16" t="str">
        <x:v>https://github.com/getbible/desktop</x:v>
      </x:c>
      <x:c r="W23" s="16" t="str">
        <x:v>https://github.com/getbible/desktop</x:v>
      </x:c>
      <x:c r="X23" s="20" t="str">
        <x:v>primary</x:v>
      </x:c>
    </x:row>
    <x:row r="24" ht="72" hidden="0" customHeight="1">
      <x:c r="A24" s="23" t="n">
        <x:v>20</x:v>
      </x:c>
      <x:c r="B24" s="24" t="str">
        <x:v>Major</x:v>
      </x:c>
      <x:c r="C24" s="23" t="str">
        <x:v>GetBible Scripture Platform</x:v>
      </x:c>
      <x:c r="D24" s="23" t="str">
        <x:v>getbible/flutter</x:v>
      </x:c>
      <x:c r="E24" s="20" t="str">
        <x:v>getbible</x:v>
      </x:c>
      <x:c r="F24" s="51" t="n">
        <x:v>46221</x:v>
      </x:c>
      <x:c r="G24" s="51" t="n">
        <x:v>46221</x:v>
      </x:c>
      <x:c r="H24" s="20" t="str">
        <x:v>Current/present-day public activity evidenced in 2026</x:v>
      </x:c>
      <x:c r="I24" s="52" t="n">
        <x:v>9</x:v>
      </x:c>
      <x:c r="J24" s="52" t="n">
        <x:v>1</x:v>
      </x:c>
      <x:c r="K24" s="52" t="n">
        <x:v>1</x:v>
      </x:c>
      <x:c r="L24" s="52" t="n">
        <x:v>22808</x:v>
      </x:c>
      <x:c r="M24" s="52" t="n">
        <x:v>47</x:v>
      </x:c>
      <x:c r="N24" s="52" t="n">
        <x:v>22855</x:v>
      </x:c>
      <x:c r="O24" s="52" t="n">
        <x:v>255</x:v>
      </x:c>
      <x:c r="P24" s="20" t="str">
        <x:v>Dart, C/C++ headers, Swift, C++</x:v>
      </x:c>
      <x:c r="Q24" s="20" t="str">
        <x:v>Project owner and lead engineering contributor</x:v>
      </x:c>
      <x:c r="R24" s="20" t="str">
        <x:v>Senior</x:v>
      </x:c>
      <x:c r="S24" s="20" t="str">
        <x:v>Native Flutter/Dart implementation of GetBible for Android, iOS, web, Windows, macOS, and Linux with typed API models and local persistence.</x:v>
      </x:c>
      <x:c r="T24" s="20" t="str">
        <x:v>Extends the GetBible platform into maintained end-user application surfaces and cross-platform distribution.</x:v>
      </x:c>
      <x:c r="U24" s="20" t="str">
        <x:v>Canonical inclusion refreshed 28 July 2026. Contribution metrics are the identity-aware repository snapshot from 18 July 2026 and must not be summed across repositories.</x:v>
      </x:c>
      <x:c r="V24" s="16" t="str">
        <x:v>https://github.com/getbible/flutter</x:v>
      </x:c>
      <x:c r="W24" s="16" t="str">
        <x:v>https://github.com/getbible/flutter</x:v>
      </x:c>
      <x:c r="X24" s="20" t="str">
        <x:v>primary</x:v>
      </x:c>
    </x:row>
    <x:row r="25" ht="72" hidden="0" customHeight="1">
      <x:c r="A25" s="23" t="n">
        <x:v>21</x:v>
      </x:c>
      <x:c r="B25" s="24" t="str">
        <x:v>Major</x:v>
      </x:c>
      <x:c r="C25" s="23" t="str">
        <x:v>GetBible Scripture Platform</x:v>
      </x:c>
      <x:c r="D25" s="23" t="str">
        <x:v>getbible/getbiblesword</x:v>
      </x:c>
      <x:c r="E25" s="20" t="str">
        <x:v>getbible</x:v>
      </x:c>
      <x:c r="F25" s="51" t="n">
        <x:v>46220</x:v>
      </x:c>
      <x:c r="G25" s="51" t="n">
        <x:v>46220</x:v>
      </x:c>
      <x:c r="H25" s="20" t="str">
        <x:v>Current/present-day public activity evidenced in 2026</x:v>
      </x:c>
      <x:c r="I25" s="52" t="n">
        <x:v>11</x:v>
      </x:c>
      <x:c r="J25" s="52" t="n">
        <x:v>1</x:v>
      </x:c>
      <x:c r="K25" s="52" t="n">
        <x:v>1</x:v>
      </x:c>
      <x:c r="L25" s="52" t="n">
        <x:v>8267</x:v>
      </x:c>
      <x:c r="M25" s="52" t="n">
        <x:v>17</x:v>
      </x:c>
      <x:c r="N25" s="52" t="n">
        <x:v>8284</x:v>
      </x:c>
      <x:c r="O25" s="52" t="n">
        <x:v>53</x:v>
      </x:c>
      <x:c r="P25" s="20" t="str">
        <x:v>C++, Shell/Bash</x:v>
      </x:c>
      <x:c r="Q25" s="20" t="str">
        <x:v>Project owner and lead engineering contributor</x:v>
      </x:c>
      <x:c r="R25" s="20" t="str">
        <x:v>Senior</x:v>
      </x:c>
      <x:c r="S25" s="20" t="str">
        <x:v>C++20 command-line extractor built on CrossWire SWORD, exporting every module family through a deterministic, versioned, loss-preserving NDJSON contract.</x:v>
      </x:c>
      <x:c r="T25" s="20" t="str">
        <x:v>Establishes a loss-preserving C++ extraction boundary for Bibles, commentaries, dictionaries and other SWORD resources.</x:v>
      </x:c>
      <x:c r="U25" s="20" t="str">
        <x:v>Canonical inclusion refreshed 28 July 2026. Contribution metrics are the identity-aware repository snapshot from 18 July 2026 and must not be summed across repositories.</x:v>
      </x:c>
      <x:c r="V25" s="16" t="str">
        <x:v>https://github.com/getbible/getbiblesword</x:v>
      </x:c>
      <x:c r="W25" s="16" t="str">
        <x:v>https://github.com/getbible/getbiblesword</x:v>
      </x:c>
      <x:c r="X25" s="20" t="str">
        <x:v>primary</x:v>
      </x:c>
    </x:row>
    <x:row r="26" ht="72" hidden="0" customHeight="1">
      <x:c r="A26" s="23" t="n">
        <x:v>22</x:v>
      </x:c>
      <x:c r="B26" s="24" t="str">
        <x:v>Major</x:v>
      </x:c>
      <x:c r="C26" s="23" t="str">
        <x:v>GetBible Scripture Platform</x:v>
      </x:c>
      <x:c r="D26" s="23" t="str">
        <x:v>getbible/joomla-component</x:v>
      </x:c>
      <x:c r="E26" s="20" t="str">
        <x:v>getbible</x:v>
      </x:c>
      <x:c r="F26" s="51" t="n">
        <x:v>45133</x:v>
      </x:c>
      <x:c r="G26" s="51" t="n">
        <x:v>45979</x:v>
      </x:c>
      <x:c r="H26" s="20" t="str">
        <x:v>Recent public activity; latest attributable commit 2025-11-18</x:v>
      </x:c>
      <x:c r="I26" s="52" t="n">
        <x:v>120</x:v>
      </x:c>
      <x:c r="J26" s="52" t="n">
        <x:v>43</x:v>
      </x:c>
      <x:c r="K26" s="52" t="n">
        <x:v>12</x:v>
      </x:c>
      <x:c r="L26" s="52" t="n">
        <x:v>282198</x:v>
      </x:c>
      <x:c r="M26" s="52" t="n">
        <x:v>52143</x:v>
      </x:c>
      <x:c r="N26" s="52" t="n">
        <x:v>334341</x:v>
      </x:c>
      <x:c r="O26" s="52" t="n">
        <x:v>2132</x:v>
      </x:c>
      <x:c r="P26" s="20" t="str">
        <x:v>PHP, HTML, SQL, JavaScript, CSS</x:v>
      </x:c>
      <x:c r="Q26" s="20" t="str">
        <x:v>Original author, principal architect and maintainer</x:v>
      </x:c>
      <x:c r="R26" s="20" t="str">
        <x:v>Senior</x:v>
      </x:c>
      <x:c r="S26" s="20" t="str">
        <x:v>Feature-rich Bible study extension for Joomla with multilingual scripture, notes, tags, search, GUID-linked sessions, and OpenAI integration.</x:v>
      </x:c>
      <x:c r="T26" s="20" t="str">
        <x:v>Makes multilingual Bible reading and study features deployable on Joomla sites, with personal notes, tags, search and session sharing.</x:v>
      </x:c>
      <x:c r="U26" s="20" t="str">
        <x:v>Canonical inclusion refreshed 28 July 2026. Contribution metrics are the identity-aware repository snapshot from 18 July 2026 and must not be summed across repositories.</x:v>
      </x:c>
      <x:c r="V26" s="16" t="str">
        <x:v>https://github.com/getbible/joomla-component</x:v>
      </x:c>
      <x:c r="W26" s="16" t="str">
        <x:v>https://github.com/getbible/joomla-component</x:v>
      </x:c>
      <x:c r="X26" s="20" t="str">
        <x:v>primary</x:v>
      </x:c>
    </x:row>
    <x:row r="27" ht="72" hidden="0" customHeight="1">
      <x:c r="A27" s="23" t="n">
        <x:v>23</x:v>
      </x:c>
      <x:c r="B27" s="24" t="str">
        <x:v>Major</x:v>
      </x:c>
      <x:c r="C27" s="23" t="str">
        <x:v>GetBible Scripture Platform</x:v>
      </x:c>
      <x:c r="D27" s="23" t="str">
        <x:v>getbible/mcp</x:v>
      </x:c>
      <x:c r="E27" s="20" t="str">
        <x:v>getbible</x:v>
      </x:c>
      <x:c r="F27" s="51" t="n">
        <x:v>46220</x:v>
      </x:c>
      <x:c r="G27" s="51" t="n">
        <x:v>46221</x:v>
      </x:c>
      <x:c r="H27" s="20" t="str">
        <x:v>Current/present-day public activity evidenced in 2026</x:v>
      </x:c>
      <x:c r="I27" s="52" t="n">
        <x:v>6</x:v>
      </x:c>
      <x:c r="J27" s="52" t="n">
        <x:v>2</x:v>
      </x:c>
      <x:c r="K27" s="52" t="n">
        <x:v>1</x:v>
      </x:c>
      <x:c r="L27" s="52" t="n">
        <x:v>4513</x:v>
      </x:c>
      <x:c r="M27" s="52" t="n">
        <x:v>116</x:v>
      </x:c>
      <x:c r="N27" s="52" t="n">
        <x:v>4629</x:v>
      </x:c>
      <x:c r="O27" s="52" t="n">
        <x:v>55</x:v>
      </x:c>
      <x:c r="P27" s="20" t="str">
        <x:v>Python, HTML</x:v>
      </x:c>
      <x:c r="Q27" s="20" t="str">
        <x:v>Project owner and lead engineering contributor</x:v>
      </x:c>
      <x:c r="R27" s="20" t="str">
        <x:v>Senior</x:v>
      </x:c>
      <x:c r="S27" s="20" t="str">
        <x:v>Production Model Context Protocol server exposing GetBible over streamable HTTP and stdio with validation, caching, and integrity rules.</x:v>
      </x:c>
      <x:c r="T27" s="20" t="str">
        <x:v>Makes the GetBible data platform directly usable by AI clients through standard MCP transports.</x:v>
      </x:c>
      <x:c r="U27" s="20" t="str">
        <x:v>Canonical inclusion refreshed 28 July 2026. Contribution metrics are the identity-aware repository snapshot from 18 July 2026 and must not be summed across repositories.</x:v>
      </x:c>
      <x:c r="V27" s="16" t="str">
        <x:v>https://github.com/getbible/mcp</x:v>
      </x:c>
      <x:c r="W27" s="16" t="str">
        <x:v>https://github.com/getbible/mcp</x:v>
      </x:c>
      <x:c r="X27" s="20" t="str">
        <x:v>primary</x:v>
      </x:c>
    </x:row>
    <x:row r="28" ht="72" hidden="0" customHeight="1">
      <x:c r="A28" s="23" t="n">
        <x:v>24</x:v>
      </x:c>
      <x:c r="B28" s="24" t="str">
        <x:v>Major</x:v>
      </x:c>
      <x:c r="C28" s="23" t="str">
        <x:v>GetBible Scripture Platform</x:v>
      </x:c>
      <x:c r="D28" s="23" t="str">
        <x:v>getbible/v2</x:v>
      </x:c>
      <x:c r="E28" s="20" t="str">
        <x:v>getbible</x:v>
      </x:c>
      <x:c r="F28" s="51" t="n">
        <x:v>43828</x:v>
      </x:c>
      <x:c r="G28" s="51" t="n">
        <x:v>46113</x:v>
      </x:c>
      <x:c r="H28" s="20" t="str">
        <x:v>Current/present-day public activity evidenced in 2026</x:v>
      </x:c>
      <x:c r="I28" s="52" t="n">
        <x:v>32</x:v>
      </x:c>
      <x:c r="J28" s="52" t="n">
        <x:v>31</x:v>
      </x:c>
      <x:c r="K28" s="52" t="n">
        <x:v>26</x:v>
      </x:c>
      <x:c r="L28" s="52" t="n">
        <x:v>4254838</x:v>
      </x:c>
      <x:c r="M28" s="52" t="n">
        <x:v>2162504</x:v>
      </x:c>
      <x:c r="N28" s="52" t="n">
        <x:v>6417342</x:v>
      </x:c>
      <x:c r="O28" s="52" t="n">
        <x:v>146952</x:v>
      </x:c>
      <x:c r="P28" s="20" t="str"/>
      <x:c r="Q28" s="20" t="str">
        <x:v>Project founder, data/API architect and publisher</x:v>
      </x:c>
      <x:c r="R28" s="20" t="str">
        <x:v>Senior</x:v>
      </x:c>
      <x:c r="S28" s="20" t="str">
        <x:v>Second-generation GetBible JSON API and queryable scripture data distribution, including translation, book, chapter, verse, and integrity/hash material.</x:v>
      </x:c>
      <x:c r="T28" s="20" t="str">
        <x:v>Publishes a globally reusable, registration-free scripture API/data layer and supports the live grouped-reference query service.</x:v>
      </x:c>
      <x:c r="U28" s="20" t="str">
        <x:v>Canonical inclusion refreshed 28 July 2026. Contribution metrics are the identity-aware repository snapshot from 18 July 2026 and must not be summed across repositories.</x:v>
      </x:c>
      <x:c r="V28" s="16" t="str">
        <x:v>https://github.com/getbible/v2</x:v>
      </x:c>
      <x:c r="W28" s="16" t="str">
        <x:v>https://github.com/getbible/v2</x:v>
      </x:c>
      <x:c r="X28" s="20" t="str">
        <x:v>primary</x:v>
      </x:c>
    </x:row>
    <x:row r="29" ht="72" hidden="0" customHeight="1">
      <x:c r="A29" s="23" t="n">
        <x:v>25</x:v>
      </x:c>
      <x:c r="B29" s="24" t="str">
        <x:v>Major</x:v>
      </x:c>
      <x:c r="C29" s="23" t="str">
        <x:v>GetBible Scripture Platform</x:v>
      </x:c>
      <x:c r="D29" s="23" t="str">
        <x:v>getbible/v2_builder</x:v>
      </x:c>
      <x:c r="E29" s="20" t="str">
        <x:v>getbible</x:v>
      </x:c>
      <x:c r="F29" s="51" t="n">
        <x:v>44306</x:v>
      </x:c>
      <x:c r="G29" s="51" t="n">
        <x:v>46219</x:v>
      </x:c>
      <x:c r="H29" s="20" t="str">
        <x:v>Current/present-day public activity evidenced in 2026</x:v>
      </x:c>
      <x:c r="I29" s="52" t="n">
        <x:v>347</x:v>
      </x:c>
      <x:c r="J29" s="52" t="n">
        <x:v>264</x:v>
      </x:c>
      <x:c r="K29" s="52" t="n">
        <x:v>60</x:v>
      </x:c>
      <x:c r="L29" s="52" t="n">
        <x:v>9239</x:v>
      </x:c>
      <x:c r="M29" s="52" t="n">
        <x:v>1549</x:v>
      </x:c>
      <x:c r="N29" s="52" t="n">
        <x:v>10788</x:v>
      </x:c>
      <x:c r="O29" s="52" t="n">
        <x:v>93</x:v>
      </x:c>
      <x:c r="P29" s="20" t="str">
        <x:v>Shell/Bash, Python</x:v>
      </x:c>
      <x:c r="Q29" s="20" t="str">
        <x:v>Principal pipeline architect and maintainer</x:v>
      </x:c>
      <x:c r="R29" s="20" t="str">
        <x:v>Senior</x:v>
      </x:c>
      <x:c r="S29" s="20" t="str">
        <x:v>Python and shell build pipeline converting CrossWire SWORD modules into GetBible API v2 static JSON and hash artefacts.</x:v>
      </x:c>
      <x:c r="T29" s="20" t="str">
        <x:v>Turns upstream SWORD modules into deterministic, testable and distributable scripture APIs instead of hand-maintained datasets.</x:v>
      </x:c>
      <x:c r="U29" s="20" t="str">
        <x:v>Canonical inclusion refreshed 28 July 2026. Contribution metrics are the identity-aware repository snapshot from 18 July 2026 and must not be summed across repositories.</x:v>
      </x:c>
      <x:c r="V29" s="16" t="str">
        <x:v>https://github.com/getbible/v2_builder</x:v>
      </x:c>
      <x:c r="W29" s="16" t="str">
        <x:v>https://github.com/getbible/v2_builder</x:v>
      </x:c>
      <x:c r="X29" s="20" t="str">
        <x:v>primary</x:v>
      </x:c>
    </x:row>
    <x:row r="30" ht="72" hidden="0" customHeight="1">
      <x:c r="A30" s="23" t="n">
        <x:v>26</x:v>
      </x:c>
      <x:c r="B30" s="24" t="str">
        <x:v>Major</x:v>
      </x:c>
      <x:c r="C30" s="23" t="str">
        <x:v>Christian Publishing &amp; Ministry Systems</x:v>
      </x:c>
      <x:c r="D30" s="23" t="str">
        <x:v>trueChristian/daily-light</x:v>
      </x:c>
      <x:c r="E30" s="20" t="str">
        <x:v>trueChristian</x:v>
      </x:c>
      <x:c r="F30" s="51" t="n">
        <x:v>44316</x:v>
      </x:c>
      <x:c r="G30" s="51" t="n">
        <x:v>46221</x:v>
      </x:c>
      <x:c r="H30" s="20" t="str">
        <x:v>Current / active within the last 12 months</x:v>
      </x:c>
      <x:c r="I30" s="52" t="n">
        <x:v>4312</x:v>
      </x:c>
      <x:c r="J30" s="52" t="n">
        <x:v>1906</x:v>
      </x:c>
      <x:c r="K30" s="52" t="n">
        <x:v>64</x:v>
      </x:c>
      <x:c r="L30" s="52" t="n">
        <x:v>107013</x:v>
      </x:c>
      <x:c r="M30" s="52" t="n">
        <x:v>105434</x:v>
      </x:c>
      <x:c r="N30" s="52" t="n">
        <x:v>212447</x:v>
      </x:c>
      <x:c r="O30" s="52" t="n">
        <x:v>18</x:v>
      </x:c>
      <x:c r="P30" s="20" t="str">
        <x:v>HTML, Shell/Bash, YAML/CI</x:v>
      </x:c>
      <x:c r="Q30" s="20" t="str">
        <x:v>Principal or sole recorded author</x:v>
      </x:c>
      <x:c r="R30" s="20" t="str">
        <x:v>Senior / architectural engineering evidence</x:v>
      </x:c>
      <x:c r="S30" s="20" t="str">
        <x:v>A maintained Daily Light publishing system that generates and distributes devotional Scripture content.</x:v>
      </x:c>
      <x:c r="T30" s="20" t="str">
        <x:v>Demonstrates the design and sustained operation of daily publication/data pipelines over more than five years.</x:v>
      </x:c>
      <x:c r="U30" s="20" t="str">
        <x:v>Canonical inclusion refreshed 28 July 2026. Contribution metrics are the identity-aware repository snapshot from 18 July 2026 and must not be summed across repositories.</x:v>
      </x:c>
      <x:c r="V30" s="16" t="str">
        <x:v>https://github.com/trueChristian/daily-light</x:v>
      </x:c>
      <x:c r="W30" s="16" t="str">
        <x:v>https://github.com/trueChristian/daily-light/commit/431766b52474fccac930c5249c27f86f78a9bc02</x:v>
      </x:c>
      <x:c r="X30" s="20" t="str">
        <x:v>extended</x:v>
      </x:c>
    </x:row>
    <x:row r="31" ht="72" hidden="0" customHeight="1">
      <x:c r="A31" s="23" t="n">
        <x:v>27</x:v>
      </x:c>
      <x:c r="B31" s="24" t="str">
        <x:v>Major</x:v>
      </x:c>
      <x:c r="C31" s="23" t="str">
        <x:v>Christian Publishing &amp; Ministry Systems</x:v>
      </x:c>
      <x:c r="D31" s="23" t="str">
        <x:v>trueChristian/daily-scripture</x:v>
      </x:c>
      <x:c r="E31" s="20" t="str">
        <x:v>trueChristian</x:v>
      </x:c>
      <x:c r="F31" s="51" t="n">
        <x:v>44318</x:v>
      </x:c>
      <x:c r="G31" s="51" t="n">
        <x:v>46220</x:v>
      </x:c>
      <x:c r="H31" s="20" t="str">
        <x:v>Current / active within the last 12 months</x:v>
      </x:c>
      <x:c r="I31" s="52" t="n">
        <x:v>3109</x:v>
      </x:c>
      <x:c r="J31" s="52" t="n">
        <x:v>1900</x:v>
      </x:c>
      <x:c r="K31" s="52" t="n">
        <x:v>63</x:v>
      </x:c>
      <x:c r="L31" s="52" t="n">
        <x:v>131462</x:v>
      </x:c>
      <x:c r="M31" s="52" t="n">
        <x:v>72479</x:v>
      </x:c>
      <x:c r="N31" s="52" t="n">
        <x:v>203941</x:v>
      </x:c>
      <x:c r="O31" s="52" t="n">
        <x:v>9476</x:v>
      </x:c>
      <x:c r="P31" s="20" t="str">
        <x:v>HTML, Shell/Bash, YAML/CI</x:v>
      </x:c>
      <x:c r="Q31" s="20" t="str">
        <x:v>Principal or sole recorded author</x:v>
      </x:c>
      <x:c r="R31" s="20" t="str">
        <x:v>Senior / architectural engineering evidence</x:v>
      </x:c>
      <x:c r="S31" s="20" t="str">
        <x:v>A maintained daily Scripture publication system with static web/data outputs and automation.</x:v>
      </x:c>
      <x:c r="T31" s="20" t="str">
        <x:v>Demonstrates the design and sustained operation of daily publication/data pipelines over more than five years.</x:v>
      </x:c>
      <x:c r="U31" s="20" t="str">
        <x:v>Canonical inclusion refreshed 28 July 2026. Contribution metrics are the identity-aware repository snapshot from 18 July 2026 and must not be summed across repositories.</x:v>
      </x:c>
      <x:c r="V31" s="16" t="str">
        <x:v>https://github.com/trueChristian/daily-scripture</x:v>
      </x:c>
      <x:c r="W31" s="16" t="str">
        <x:v>https://github.com/trueChristian/daily-scripture/commit/e0f9f7bd8dcfdf1fe94321d0b73f744a2e60b3bc</x:v>
      </x:c>
      <x:c r="X31" s="20" t="str">
        <x:v>extended</x:v>
      </x:c>
    </x:row>
    <x:row r="32" ht="72" hidden="0" customHeight="1">
      <x:c r="A32" s="23" t="n">
        <x:v>28</x:v>
      </x:c>
      <x:c r="B32" s="24" t="str">
        <x:v>Major</x:v>
      </x:c>
      <x:c r="C32" s="23" t="str">
        <x:v>Joomla Applications &amp; Tooling</x:v>
      </x:c>
      <x:c r="D32" s="23" t="str">
        <x:v>Llewellynvdm/Joomla-Cost-Benefit-Projection</x:v>
      </x:c>
      <x:c r="E32" s="20" t="str">
        <x:v>Llewellynvdm</x:v>
      </x:c>
      <x:c r="F32" s="51" t="n">
        <x:v>42339</x:v>
      </x:c>
      <x:c r="G32" s="51" t="n">
        <x:v>44708</x:v>
      </x:c>
      <x:c r="H32" s="20" t="str">
        <x:v>Historical contribution</x:v>
      </x:c>
      <x:c r="I32" s="52" t="n">
        <x:v>65</x:v>
      </x:c>
      <x:c r="J32" s="52" t="n">
        <x:v>45</x:v>
      </x:c>
      <x:c r="K32" s="52" t="n">
        <x:v>17</x:v>
      </x:c>
      <x:c r="L32" s="52" t="n">
        <x:v>659303</x:v>
      </x:c>
      <x:c r="M32" s="52" t="n">
        <x:v>402500</x:v>
      </x:c>
      <x:c r="N32" s="52" t="n">
        <x:v>1061803</x:v>
      </x:c>
      <x:c r="O32" s="52" t="n">
        <x:v>2004</x:v>
      </x:c>
      <x:c r="P32" s="20" t="str">
        <x:v>PHP, CSS/SCSS, JavaScript, XML, HTML, SQL, Shell/Bash</x:v>
      </x:c>
      <x:c r="Q32" s="20" t="str">
        <x:v>Principal or sole recorded author</x:v>
      </x:c>
      <x:c r="R32" s="20" t="str">
        <x:v>Senior / architectural engineering evidence</x:v>
      </x:c>
      <x:c r="S32" s="20" t="str">
        <x:v>A Joomla cost-benefit projection application with substantial domain, database and presentation logic.</x:v>
      </x:c>
      <x:c r="T32" s="20" t="str">
        <x:v>Delivered attributable changes across 65 commits and 2004 paths in Llewellynvdm/Joomla-Cost-Benefit-Projection; the visible history demonstrates hands-on implementation and maintenance of a joomla cost-benefit projection application with substantial domain, database and presentation logic.</x:v>
      </x:c>
      <x:c r="U32" s="20" t="str">
        <x:v>Canonical inclusion refreshed 28 July 2026. Contribution metrics are the identity-aware repository snapshot from 18 July 2026 and must not be summed across repositories.</x:v>
      </x:c>
      <x:c r="V32" s="16" t="str">
        <x:v>https://github.com/Llewellynvdm/Joomla-Cost-Benefit-Projection</x:v>
      </x:c>
      <x:c r="W32" s="16" t="str">
        <x:v>https://github.com/Llewellynvdm/Joomla-Cost-Benefit-Projection/commit/a26b4ebb63cb7e7ab1592c5d4425deb83b98a3a1</x:v>
      </x:c>
      <x:c r="X32" s="20" t="str">
        <x:v>extended</x:v>
      </x:c>
    </x:row>
    <x:row r="33" ht="72" hidden="0" customHeight="1">
      <x:c r="A33" s="23" t="n">
        <x:v>29</x:v>
      </x:c>
      <x:c r="B33" s="24" t="str">
        <x:v>Major</x:v>
      </x:c>
      <x:c r="C33" s="23" t="str">
        <x:v>Joomla Applications &amp; Tooling</x:v>
      </x:c>
      <x:c r="D33" s="23" t="str">
        <x:v>Llewellynvdm/Joomla-Sermon-Distributor</x:v>
      </x:c>
      <x:c r="E33" s="20" t="str">
        <x:v>Llewellynvdm</x:v>
      </x:c>
      <x:c r="F33" s="51" t="n">
        <x:v>42338</x:v>
      </x:c>
      <x:c r="G33" s="51" t="n">
        <x:v>45415</x:v>
      </x:c>
      <x:c r="H33" s="20" t="str">
        <x:v>Recent maintenance history</x:v>
      </x:c>
      <x:c r="I33" s="52" t="n">
        <x:v>90</x:v>
      </x:c>
      <x:c r="J33" s="52" t="n">
        <x:v>59</x:v>
      </x:c>
      <x:c r="K33" s="52" t="n">
        <x:v>34</x:v>
      </x:c>
      <x:c r="L33" s="52" t="n">
        <x:v>721021</x:v>
      </x:c>
      <x:c r="M33" s="52" t="n">
        <x:v>444644</x:v>
      </x:c>
      <x:c r="N33" s="52" t="n">
        <x:v>1165665</x:v>
      </x:c>
      <x:c r="O33" s="52" t="n">
        <x:v>2207</x:v>
      </x:c>
      <x:c r="P33" s="20" t="str">
        <x:v>PHP, CSS/SCSS, JavaScript, HTML, XML, SQL, YAML/CI</x:v>
      </x:c>
      <x:c r="Q33" s="20" t="str">
        <x:v>Originator/maintainer of mirrored deliverable</x:v>
      </x:c>
      <x:c r="R33" s="20" t="str">
        <x:v>Senior / architectural engineering evidence</x:v>
      </x:c>
      <x:c r="S33" s="20" t="str">
        <x:v>A complete Joomla sermon-library and distribution application.</x:v>
      </x:c>
      <x:c r="T33" s="20" t="str">
        <x:v>Demonstrates full-stack Joomla application architecture for cataloguing, managing and distributing media-rich sermon content.</x:v>
      </x:c>
      <x:c r="U33" s="20" t="str">
        <x:v>Canonical inclusion refreshed 28 July 2026. Contribution metrics are the identity-aware repository snapshot from 18 July 2026 and must not be summed across repositories.</x:v>
      </x:c>
      <x:c r="V33" s="16" t="str">
        <x:v>https://github.com/Llewellynvdm/Joomla-Sermon-Distributor</x:v>
      </x:c>
      <x:c r="W33" s="16" t="str">
        <x:v>https://github.com/Llewellynvdm/Joomla-Sermon-Distributor/commit/58507feb1bf42bb966e668beedea1138d3c76635</x:v>
      </x:c>
      <x:c r="X33" s="20" t="str">
        <x:v>extended</x:v>
      </x:c>
    </x:row>
    <x:row r="34" ht="72" hidden="0" customHeight="1">
      <x:c r="A34" s="25" t="n">
        <x:v>30</x:v>
      </x:c>
      <x:c r="B34" s="26" t="str">
        <x:v>Major</x:v>
      </x:c>
      <x:c r="C34" s="25" t="str">
        <x:v>SermonIndex Data Systems</x:v>
      </x:c>
      <x:c r="D34" s="25" t="str">
        <x:v>sermonindex/audio_api</x:v>
      </x:c>
      <x:c r="E34" s="20" t="str">
        <x:v>sermonindex</x:v>
      </x:c>
      <x:c r="F34" s="51" t="n">
        <x:v>43467</x:v>
      </x:c>
      <x:c r="G34" s="51" t="n">
        <x:v>43970</x:v>
      </x:c>
      <x:c r="H34" s="20" t="str">
        <x:v>Historical contribution</x:v>
      </x:c>
      <x:c r="I34" s="52" t="n">
        <x:v>8</x:v>
      </x:c>
      <x:c r="J34" s="52" t="n">
        <x:v>6</x:v>
      </x:c>
      <x:c r="K34" s="52" t="n">
        <x:v>2</x:v>
      </x:c>
      <x:c r="L34" s="52" t="n">
        <x:v>2289655</x:v>
      </x:c>
      <x:c r="M34" s="52" t="n">
        <x:v>505933</x:v>
      </x:c>
      <x:c r="N34" s="52" t="n">
        <x:v>2795588</x:v>
      </x:c>
      <x:c r="O34" s="52" t="n">
        <x:v>9197</x:v>
      </x:c>
      <x:c r="P34" s="20" t="str"/>
      <x:c r="Q34" s="20" t="str">
        <x:v>Lead maintainer / major contributor</x:v>
      </x:c>
      <x:c r="R34" s="20" t="str">
        <x:v>Senior / architectural engineering evidence</x:v>
      </x:c>
      <x:c r="S34" s="20" t="str">
        <x:v>A static JSON API organizing the SermonIndex corpus by Scripture, preacher and topic.</x:v>
      </x:c>
      <x:c r="T34" s="20" t="str">
        <x:v>Turns a large sermon catalogue into queryable, deployment-friendly static data grouped across multiple retrieval dimensions.</x:v>
      </x:c>
      <x:c r="U34" s="20" t="str">
        <x:v>Canonical inclusion refreshed 28 July 2026. Contribution metrics are the identity-aware repository snapshot from 18 July 2026 and must not be summed across repositories.</x:v>
      </x:c>
      <x:c r="V34" s="16" t="str">
        <x:v>https://github.com/sermonindex/audio_api</x:v>
      </x:c>
      <x:c r="W34" s="16" t="str">
        <x:v>https://github.com/sermonindex/audio_api/commit/d8c02ea39b7d167d26701b03cb8519107aa879a3</x:v>
      </x:c>
      <x:c r="X34" s="20" t="str">
        <x:v>extended</x:v>
      </x:c>
    </x:row>
    <x:row r="35" ht="72" hidden="0" customHeight="1">
      <x:c r="A35" s="25" t="n">
        <x:v>31</x:v>
      </x:c>
      <x:c r="B35" s="26" t="str">
        <x:v>Supporting</x:v>
      </x:c>
      <x:c r="C35" s="25" t="str">
        <x:v>Joomla Component Builder &amp; JoomEngine</x:v>
      </x:c>
      <x:c r="D35" s="25" t="str">
        <x:v>joomengine/pkg-servicedirectory</x:v>
      </x:c>
      <x:c r="E35" s="20" t="str">
        <x:v>joomengine</x:v>
      </x:c>
      <x:c r="F35" s="51"/>
      <x:c r="G35" s="51" t="n">
        <x:v>46232</x:v>
      </x:c>
      <x:c r="H35" s="20" t="str">
        <x:v>Current Joomla 6 release package</x:v>
      </x:c>
      <x:c r="I35" s="52"/>
      <x:c r="J35" s="52"/>
      <x:c r="K35" s="52"/>
      <x:c r="L35" s="52"/>
      <x:c r="M35" s="52"/>
      <x:c r="N35" s="52"/>
      <x:c r="O35" s="52"/>
      <x:c r="P35" s="20" t="str">
        <x:v>PHP, XML, Joomla packaging, release engineering</x:v>
      </x:c>
      <x:c r="Q35" s="20" t="str">
        <x:v>Build, packaging and release contributor</x:v>
      </x:c>
      <x:c r="R35" s="20" t="str">
        <x:v>Supporting evidence of generated application delivery and maintained release packaging.</x:v>
      </x:c>
      <x:c r="S35" s="20" t="str">
        <x:v>Installable Joomla 6 package for the Service Directory application, bundling two related extensions for controlled installation and update.</x:v>
      </x:c>
      <x:c r="T35" s="20" t="str">
        <x:v>Demonstrates package composition and release delivery while preserving the separate author credit on the underlying Service Directory application.</x:v>
      </x:c>
      <x:c r="U35" s="20" t="str">
        <x:v>Generated release bundle; count with the Service Directory product family and do not present as sole application authorship.</x:v>
      </x:c>
      <x:c r="V35" s="16" t="str">
        <x:v>https://github.com/joomengine/pkg-servicedirectory</x:v>
      </x:c>
      <x:c r="W35" s="16" t="str">
        <x:v>https://github.com/joomengine/pkg-servicedirectory</x:v>
      </x:c>
      <x:c r="X35" s="20" t="str">
        <x:v>source review 29 July 2026</x:v>
      </x:c>
    </x:row>
    <x:row r="36" ht="72" hidden="0" customHeight="1">
      <x:c r="A36" s="25" t="n">
        <x:v>32</x:v>
      </x:c>
      <x:c r="B36" s="26" t="str">
        <x:v>Supporting</x:v>
      </x:c>
      <x:c r="C36" s="25" t="str">
        <x:v>Joomla Component Builder &amp; JoomEngine</x:v>
      </x:c>
      <x:c r="D36" s="25" t="str">
        <x:v>joomengine/fof</x:v>
      </x:c>
      <x:c r="E36" s="20" t="str">
        <x:v>joomengine</x:v>
      </x:c>
      <x:c r="F36" s="51" t="n">
        <x:v>45208</x:v>
      </x:c>
      <x:c r="G36" s="51" t="n">
        <x:v>45825</x:v>
      </x:c>
      <x:c r="H36" s="20" t="str">
        <x:v>Recent public activity; latest attributable commit 2025-06-17</x:v>
      </x:c>
      <x:c r="I36" s="52" t="n">
        <x:v>10</x:v>
      </x:c>
      <x:c r="J36" s="52" t="n">
        <x:v>8</x:v>
      </x:c>
      <x:c r="K36" s="52" t="n">
        <x:v>5</x:v>
      </x:c>
      <x:c r="L36" s="52" t="n">
        <x:v>3512</x:v>
      </x:c>
      <x:c r="M36" s="52" t="n">
        <x:v>492</x:v>
      </x:c>
      <x:c r="N36" s="52" t="n">
        <x:v>4004</x:v>
      </x:c>
      <x:c r="O36" s="52" t="n">
        <x:v>35</x:v>
      </x:c>
      <x:c r="P36" s="20" t="str">
        <x:v>PHP</x:v>
      </x:c>
      <x:c r="Q36" s="20" t="str">
        <x:v>JCB ecosystem architect, registry maintainer and release contributor</x:v>
      </x:c>
      <x:c r="R36" s="20" t="str">
        <x:v>Intermediate to senior</x:v>
      </x:c>
      <x:c r="S36" s="20" t="str">
        <x:v>Maintained compatibility surface for FOF framework classes used by Joomla extension systems.</x:v>
      </x:c>
      <x:c r="T36" s="20" t="str">
        <x:v>Preserves framework integration and compatibility as part of the wider JCB dependency ecosystem.</x:v>
      </x:c>
      <x:c r="U36" s="20" t="str">
        <x:v>Canonical inclusion refreshed 28 July 2026. Contribution metrics are the identity-aware repository snapshot from 18 July 2026 and must not be summed across repositories.</x:v>
      </x:c>
      <x:c r="V36" s="16" t="str">
        <x:v>https://github.com/joomengine/fof</x:v>
      </x:c>
      <x:c r="W36" s="16" t="str">
        <x:v>https://github.com/joomengine/fof</x:v>
      </x:c>
      <x:c r="X36" s="20" t="str">
        <x:v>primary</x:v>
      </x:c>
    </x:row>
    <x:row r="37" ht="72" hidden="0" customHeight="1">
      <x:c r="A37" s="25" t="n">
        <x:v>33</x:v>
      </x:c>
      <x:c r="B37" s="26" t="str">
        <x:v>Supporting</x:v>
      </x:c>
      <x:c r="C37" s="25" t="str">
        <x:v>Joomla Component Builder &amp; JoomEngine</x:v>
      </x:c>
      <x:c r="D37" s="25" t="str">
        <x:v>joomengine/jcb-documentation</x:v>
      </x:c>
      <x:c r="E37" s="20" t="str">
        <x:v>joomengine</x:v>
      </x:c>
      <x:c r="F37" s="51" t="n">
        <x:v>42663</x:v>
      </x:c>
      <x:c r="G37" s="51" t="n">
        <x:v>46105</x:v>
      </x:c>
      <x:c r="H37" s="20" t="str">
        <x:v>Current/present-day public activity evidenced in 2026</x:v>
      </x:c>
      <x:c r="I37" s="52" t="n">
        <x:v>108</x:v>
      </x:c>
      <x:c r="J37" s="52" t="n">
        <x:v>23</x:v>
      </x:c>
      <x:c r="K37" s="52" t="n">
        <x:v>16</x:v>
      </x:c>
      <x:c r="L37" s="52" t="n">
        <x:v>7113</x:v>
      </x:c>
      <x:c r="M37" s="52" t="n">
        <x:v>6844</x:v>
      </x:c>
      <x:c r="N37" s="52" t="n">
        <x:v>13957</x:v>
      </x:c>
      <x:c r="O37" s="52" t="n">
        <x:v>273</x:v>
      </x:c>
      <x:c r="P37" s="20" t="str"/>
      <x:c r="Q37" s="20" t="str">
        <x:v>JCB ecosystem architect, registry maintainer and release contributor</x:v>
      </x:c>
      <x:c r="R37" s="20" t="str">
        <x:v>Intermediate to senior</x:v>
      </x:c>
      <x:c r="S37" s="20" t="str">
        <x:v>Long-running technical documentation and onboarding corpus for Joomla Component Builder.</x:v>
      </x:c>
      <x:c r="T37" s="20" t="str">
        <x:v>Shows that platform stewardship includes public instruction, maintainability and developer adoption—not only source delivery.</x:v>
      </x:c>
      <x:c r="U37" s="20" t="str">
        <x:v>Canonical inclusion refreshed 28 July 2026. Contribution metrics are the identity-aware repository snapshot from 18 July 2026 and must not be summed across repositories.</x:v>
      </x:c>
      <x:c r="V37" s="16" t="str">
        <x:v>https://github.com/joomengine/jcb-documentation</x:v>
      </x:c>
      <x:c r="W37" s="16" t="str">
        <x:v>https://github.com/joomengine/jcb-documentation</x:v>
      </x:c>
      <x:c r="X37" s="20" t="str">
        <x:v>primary</x:v>
      </x:c>
    </x:row>
    <x:row r="38" ht="72" hidden="0" customHeight="1">
      <x:c r="A38" s="25" t="n">
        <x:v>34</x:v>
      </x:c>
      <x:c r="B38" s="26" t="str">
        <x:v>Supporting</x:v>
      </x:c>
      <x:c r="C38" s="25" t="str">
        <x:v>Joomla Component Builder &amp; JoomEngine</x:v>
      </x:c>
      <x:c r="D38" s="25" t="str">
        <x:v>joomengine/jcb-external</x:v>
      </x:c>
      <x:c r="E38" s="20" t="str">
        <x:v>joomengine</x:v>
      </x:c>
      <x:c r="F38" s="51" t="n">
        <x:v>45201</x:v>
      </x:c>
      <x:c r="G38" s="51" t="n">
        <x:v>45813</x:v>
      </x:c>
      <x:c r="H38" s="20" t="str">
        <x:v>Recent public activity; latest attributable commit 2025-06-05</x:v>
      </x:c>
      <x:c r="I38" s="52" t="n">
        <x:v>5</x:v>
      </x:c>
      <x:c r="J38" s="52" t="n">
        <x:v>5</x:v>
      </x:c>
      <x:c r="K38" s="52" t="n">
        <x:v>5</x:v>
      </x:c>
      <x:c r="L38" s="52" t="n">
        <x:v>1445</x:v>
      </x:c>
      <x:c r="M38" s="52" t="n">
        <x:v>59</x:v>
      </x:c>
      <x:c r="N38" s="52" t="n">
        <x:v>1504</x:v>
      </x:c>
      <x:c r="O38" s="52" t="n">
        <x:v>36</x:v>
      </x:c>
      <x:c r="P38" s="20" t="str">
        <x:v>PHP</x:v>
      </x:c>
      <x:c r="Q38" s="20" t="str">
        <x:v>JCB ecosystem architect, registry maintainer and release contributor</x:v>
      </x:c>
      <x:c r="R38" s="20" t="str">
        <x:v>Intermediate to senior</x:v>
      </x:c>
      <x:c r="S38" s="20" t="str">
        <x:v>Registry of external source and dependency definitions used by JCB compilation and package workflows.</x:v>
      </x:c>
      <x:c r="T38" s="20" t="str">
        <x:v>Makes external dependencies explicit and reproducible within a broader code-generation system.</x:v>
      </x:c>
      <x:c r="U38" s="20" t="str">
        <x:v>Canonical inclusion refreshed 28 July 2026. Contribution metrics are the identity-aware repository snapshot from 18 July 2026 and must not be summed across repositories.</x:v>
      </x:c>
      <x:c r="V38" s="16" t="str">
        <x:v>https://github.com/joomengine/jcb-external</x:v>
      </x:c>
      <x:c r="W38" s="16" t="str">
        <x:v>https://github.com/joomengine/jcb-external</x:v>
      </x:c>
      <x:c r="X38" s="20" t="str">
        <x:v>primary</x:v>
      </x:c>
    </x:row>
    <x:row r="39" ht="72" hidden="0" customHeight="1">
      <x:c r="A39" s="25" t="n">
        <x:v>35</x:v>
      </x:c>
      <x:c r="B39" s="26" t="str">
        <x:v>Supporting</x:v>
      </x:c>
      <x:c r="C39" s="25" t="str">
        <x:v>Joomla Component Builder &amp; JoomEngine</x:v>
      </x:c>
      <x:c r="D39" s="25" t="str">
        <x:v>joomengine/joomla-fieldtypes</x:v>
      </x:c>
      <x:c r="E39" s="20" t="str">
        <x:v>joomengine</x:v>
      </x:c>
      <x:c r="F39" s="51" t="n">
        <x:v>45527</x:v>
      </x:c>
      <x:c r="G39" s="51" t="n">
        <x:v>46121</x:v>
      </x:c>
      <x:c r="H39" s="20" t="str">
        <x:v>Current/present-day public activity evidenced in 2026</x:v>
      </x:c>
      <x:c r="I39" s="52" t="n">
        <x:v>109</x:v>
      </x:c>
      <x:c r="J39" s="52" t="n">
        <x:v>6</x:v>
      </x:c>
      <x:c r="K39" s="52" t="n">
        <x:v>5</x:v>
      </x:c>
      <x:c r="L39" s="52" t="n">
        <x:v>7463</x:v>
      </x:c>
      <x:c r="M39" s="52" t="n">
        <x:v>8</x:v>
      </x:c>
      <x:c r="N39" s="52" t="n">
        <x:v>7471</x:v>
      </x:c>
      <x:c r="O39" s="52" t="n">
        <x:v>99</x:v>
      </x:c>
      <x:c r="P39" s="20" t="str"/>
      <x:c r="Q39" s="20" t="str">
        <x:v>JCB ecosystem architect, registry maintainer and release contributor</x:v>
      </x:c>
      <x:c r="R39" s="20" t="str">
        <x:v>Intermediate to senior</x:v>
      </x:c>
      <x:c r="S39" s="20" t="str">
        <x:v>Machine-readable catalogue and documentation for Joomla and JCB field types across platform generations.</x:v>
      </x:c>
      <x:c r="T39" s="20" t="str">
        <x:v>Converts framework knowledge into reusable metadata that supports correct generated forms and compatibility.</x:v>
      </x:c>
      <x:c r="U39" s="20" t="str">
        <x:v>Canonical inclusion refreshed 28 July 2026. Contribution metrics are the identity-aware repository snapshot from 18 July 2026 and must not be summed across repositories.</x:v>
      </x:c>
      <x:c r="V39" s="16" t="str">
        <x:v>https://github.com/joomengine/joomla-fieldtypes</x:v>
      </x:c>
      <x:c r="W39" s="16" t="str">
        <x:v>https://github.com/joomengine/joomla-fieldtypes</x:v>
      </x:c>
      <x:c r="X39" s="20" t="str">
        <x:v>primary</x:v>
      </x:c>
    </x:row>
    <x:row r="40" ht="72" hidden="0" customHeight="1">
      <x:c r="A40" s="25" t="n">
        <x:v>36</x:v>
      </x:c>
      <x:c r="B40" s="26" t="str">
        <x:v>Supporting</x:v>
      </x:c>
      <x:c r="C40" s="25" t="str">
        <x:v>Joomla Component Builder &amp; JoomEngine</x:v>
      </x:c>
      <x:c r="D40" s="25" t="str">
        <x:v>joomengine/minify</x:v>
      </x:c>
      <x:c r="E40" s="20" t="str">
        <x:v>joomengine</x:v>
      </x:c>
      <x:c r="F40" s="51" t="n">
        <x:v>45031</x:v>
      </x:c>
      <x:c r="G40" s="51" t="n">
        <x:v>45825</x:v>
      </x:c>
      <x:c r="H40" s="20" t="str">
        <x:v>Recent public activity; latest attributable commit 2025-06-17</x:v>
      </x:c>
      <x:c r="I40" s="52" t="n">
        <x:v>12</x:v>
      </x:c>
      <x:c r="J40" s="52" t="n">
        <x:v>10</x:v>
      </x:c>
      <x:c r="K40" s="52" t="n">
        <x:v>8</x:v>
      </x:c>
      <x:c r="L40" s="52" t="n">
        <x:v>7018</x:v>
      </x:c>
      <x:c r="M40" s="52" t="n">
        <x:v>665</x:v>
      </x:c>
      <x:c r="N40" s="52" t="n">
        <x:v>7683</x:v>
      </x:c>
      <x:c r="O40" s="52" t="n">
        <x:v>39</x:v>
      </x:c>
      <x:c r="P40" s="20" t="str">
        <x:v>PHP</x:v>
      </x:c>
      <x:c r="Q40" s="20" t="str">
        <x:v>JCB ecosystem architect, registry maintainer and release contributor</x:v>
      </x:c>
      <x:c r="R40" s="20" t="str">
        <x:v>Intermediate to senior</x:v>
      </x:c>
      <x:c r="S40" s="20" t="str">
        <x:v>Maintained minification-service integration for generated Joomla assets and packages.</x:v>
      </x:c>
      <x:c r="T40" s="20" t="str">
        <x:v>Supports consistent delivery optimisation within the JCB build and distribution workflow.</x:v>
      </x:c>
      <x:c r="U40" s="20" t="str">
        <x:v>Canonical inclusion refreshed 28 July 2026. Contribution metrics are the identity-aware repository snapshot from 18 July 2026 and must not be summed across repositories.</x:v>
      </x:c>
      <x:c r="V40" s="16" t="str">
        <x:v>https://github.com/joomengine/minify</x:v>
      </x:c>
      <x:c r="W40" s="16" t="str">
        <x:v>https://github.com/joomengine/minify</x:v>
      </x:c>
      <x:c r="X40" s="20" t="str">
        <x:v>primary</x:v>
      </x:c>
    </x:row>
    <x:row r="41" ht="72" hidden="0" customHeight="1">
      <x:c r="A41" s="25" t="n">
        <x:v>37</x:v>
      </x:c>
      <x:c r="B41" s="26" t="str">
        <x:v>Supporting</x:v>
      </x:c>
      <x:c r="C41" s="25" t="str">
        <x:v>Joomla Component Builder &amp; JoomEngine</x:v>
      </x:c>
      <x:c r="D41" s="25" t="str">
        <x:v>joomengine/openai</x:v>
      </x:c>
      <x:c r="E41" s="20" t="str">
        <x:v>joomengine</x:v>
      </x:c>
      <x:c r="F41" s="51" t="n">
        <x:v>45066</x:v>
      </x:c>
      <x:c r="G41" s="51" t="n">
        <x:v>46105</x:v>
      </x:c>
      <x:c r="H41" s="20" t="str">
        <x:v>Current/present-day public activity evidenced in 2026</x:v>
      </x:c>
      <x:c r="I41" s="52" t="n">
        <x:v>20</x:v>
      </x:c>
      <x:c r="J41" s="52" t="n">
        <x:v>16</x:v>
      </x:c>
      <x:c r="K41" s="52" t="n">
        <x:v>14</x:v>
      </x:c>
      <x:c r="L41" s="52" t="n">
        <x:v>9331</x:v>
      </x:c>
      <x:c r="M41" s="52" t="n">
        <x:v>3633</x:v>
      </x:c>
      <x:c r="N41" s="52" t="n">
        <x:v>12964</x:v>
      </x:c>
      <x:c r="O41" s="52" t="n">
        <x:v>71</x:v>
      </x:c>
      <x:c r="P41" s="20" t="str">
        <x:v>PHP</x:v>
      </x:c>
      <x:c r="Q41" s="20" t="str">
        <x:v>JCB ecosystem architect, registry maintainer and release contributor</x:v>
      </x:c>
      <x:c r="R41" s="20" t="str">
        <x:v>Senior</x:v>
      </x:c>
      <x:c r="S41" s="20" t="str">
        <x:v>Reusable JCB Super Power registry for OpenAI service integration within generated Joomla systems.</x:v>
      </x:c>
      <x:c r="T41" s="20" t="str">
        <x:v>Shows how newer intelligent-service integration is incorporated into an established reusable-class and code-generation architecture.</x:v>
      </x:c>
      <x:c r="U41" s="20" t="str">
        <x:v>Canonical inclusion refreshed 28 July 2026. Contribution metrics are the identity-aware repository snapshot from 18 July 2026 and must not be summed across repositories.</x:v>
      </x:c>
      <x:c r="V41" s="16" t="str">
        <x:v>https://github.com/joomengine/openai</x:v>
      </x:c>
      <x:c r="W41" s="16" t="str">
        <x:v>https://github.com/joomengine/openai</x:v>
      </x:c>
      <x:c r="X41" s="20" t="str">
        <x:v>primary</x:v>
      </x:c>
    </x:row>
    <x:row r="42" ht="72" hidden="0" customHeight="1">
      <x:c r="A42" s="25" t="n">
        <x:v>38</x:v>
      </x:c>
      <x:c r="B42" s="26" t="str">
        <x:v>Supporting</x:v>
      </x:c>
      <x:c r="C42" s="25" t="str">
        <x:v>Joomla Component Builder &amp; JoomEngine</x:v>
      </x:c>
      <x:c r="D42" s="25" t="str">
        <x:v>joomengine/phpseclib</x:v>
      </x:c>
      <x:c r="E42" s="20" t="str">
        <x:v>joomengine</x:v>
      </x:c>
      <x:c r="F42" s="51" t="n">
        <x:v>45031</x:v>
      </x:c>
      <x:c r="G42" s="51" t="n">
        <x:v>46105</x:v>
      </x:c>
      <x:c r="H42" s="20" t="str">
        <x:v>Current/present-day public activity evidenced in 2026</x:v>
      </x:c>
      <x:c r="I42" s="52" t="n">
        <x:v>15</x:v>
      </x:c>
      <x:c r="J42" s="52" t="n">
        <x:v>13</x:v>
      </x:c>
      <x:c r="K42" s="52" t="n">
        <x:v>10</x:v>
      </x:c>
      <x:c r="L42" s="52" t="n">
        <x:v>7067</x:v>
      </x:c>
      <x:c r="M42" s="52" t="n">
        <x:v>1523</x:v>
      </x:c>
      <x:c r="N42" s="52" t="n">
        <x:v>8590</x:v>
      </x:c>
      <x:c r="O42" s="52" t="n">
        <x:v>59</x:v>
      </x:c>
      <x:c r="P42" s="20" t="str">
        <x:v>PHP</x:v>
      </x:c>
      <x:c r="Q42" s="20" t="str">
        <x:v>JCB ecosystem architect, registry maintainer and release contributor</x:v>
      </x:c>
      <x:c r="R42" s="20" t="str">
        <x:v>Intermediate to senior</x:v>
      </x:c>
      <x:c r="S42" s="20" t="str">
        <x:v>Maintained phpseclib integration surface for reusable cryptographic and secure-transport capabilities in JCB systems.</x:v>
      </x:c>
      <x:c r="T42" s="20" t="str">
        <x:v>Makes a security-sensitive external library available through controlled, reusable platform integration.</x:v>
      </x:c>
      <x:c r="U42" s="20" t="str">
        <x:v>Canonical inclusion refreshed 28 July 2026. Contribution metrics are the identity-aware repository snapshot from 18 July 2026 and must not be summed across repositories.</x:v>
      </x:c>
      <x:c r="V42" s="16" t="str">
        <x:v>https://github.com/joomengine/phpseclib</x:v>
      </x:c>
      <x:c r="W42" s="16" t="str">
        <x:v>https://github.com/joomengine/phpseclib</x:v>
      </x:c>
      <x:c r="X42" s="20" t="str">
        <x:v>primary</x:v>
      </x:c>
    </x:row>
    <x:row r="43" ht="72" hidden="0" customHeight="1">
      <x:c r="A43" s="25" t="n">
        <x:v>39</x:v>
      </x:c>
      <x:c r="B43" s="26" t="str">
        <x:v>Supporting</x:v>
      </x:c>
      <x:c r="C43" s="25" t="str">
        <x:v>Joomla Component Builder &amp; JoomEngine</x:v>
      </x:c>
      <x:c r="D43" s="25" t="str">
        <x:v>joomengine/psr</x:v>
      </x:c>
      <x:c r="E43" s="20" t="str">
        <x:v>joomengine</x:v>
      </x:c>
      <x:c r="F43" s="51" t="n">
        <x:v>45031</x:v>
      </x:c>
      <x:c r="G43" s="51" t="n">
        <x:v>46105</x:v>
      </x:c>
      <x:c r="H43" s="20" t="str">
        <x:v>Current/present-day public activity evidenced in 2026</x:v>
      </x:c>
      <x:c r="I43" s="52" t="n">
        <x:v>11</x:v>
      </x:c>
      <x:c r="J43" s="52" t="n">
        <x:v>9</x:v>
      </x:c>
      <x:c r="K43" s="52" t="n">
        <x:v>8</x:v>
      </x:c>
      <x:c r="L43" s="52" t="n">
        <x:v>856</x:v>
      </x:c>
      <x:c r="M43" s="52" t="n">
        <x:v>118</x:v>
      </x:c>
      <x:c r="N43" s="52" t="n">
        <x:v>974</x:v>
      </x:c>
      <x:c r="O43" s="52" t="n">
        <x:v>7</x:v>
      </x:c>
      <x:c r="P43" s="20" t="str">
        <x:v>PHP</x:v>
      </x:c>
      <x:c r="Q43" s="20" t="str">
        <x:v>JCB ecosystem architect, registry maintainer and release contributor</x:v>
      </x:c>
      <x:c r="R43" s="20" t="str">
        <x:v>Intermediate to senior</x:v>
      </x:c>
      <x:c r="S43" s="20" t="str">
        <x:v>Maintained PSR interface and compatibility surface for JCB-generated PHP applications.</x:v>
      </x:c>
      <x:c r="T43" s="20" t="str">
        <x:v>Supports standards-based interoperability across generated components and reusable Powers.</x:v>
      </x:c>
      <x:c r="U43" s="20" t="str">
        <x:v>Canonical inclusion refreshed 28 July 2026. Contribution metrics are the identity-aware repository snapshot from 18 July 2026 and must not be summed across repositories.</x:v>
      </x:c>
      <x:c r="V43" s="16" t="str">
        <x:v>https://github.com/joomengine/psr</x:v>
      </x:c>
      <x:c r="W43" s="16" t="str">
        <x:v>https://github.com/joomengine/psr</x:v>
      </x:c>
      <x:c r="X43" s="20" t="str">
        <x:v>primary</x:v>
      </x:c>
    </x:row>
    <x:row r="44" ht="72" hidden="0" customHeight="1">
      <x:c r="A44" s="25" t="n">
        <x:v>40</x:v>
      </x:c>
      <x:c r="B44" s="26" t="str">
        <x:v>Supporting</x:v>
      </x:c>
      <x:c r="C44" s="25" t="str">
        <x:v>Joomla Component Builder &amp; JoomEngine</x:v>
      </x:c>
      <x:c r="D44" s="25" t="str">
        <x:v>joomengine/repoindex</x:v>
      </x:c>
      <x:c r="E44" s="20" t="str">
        <x:v>joomengine</x:v>
      </x:c>
      <x:c r="F44" s="51" t="n">
        <x:v>45832</x:v>
      </x:c>
      <x:c r="G44" s="51" t="n">
        <x:v>45838</x:v>
      </x:c>
      <x:c r="H44" s="20" t="str">
        <x:v>Recent public activity; latest attributable commit 2025-06-30</x:v>
      </x:c>
      <x:c r="I44" s="52" t="n">
        <x:v>31</x:v>
      </x:c>
      <x:c r="J44" s="52" t="n">
        <x:v>2</x:v>
      </x:c>
      <x:c r="K44" s="52" t="n">
        <x:v>1</x:v>
      </x:c>
      <x:c r="L44" s="52" t="n">
        <x:v>769</x:v>
      </x:c>
      <x:c r="M44" s="52" t="n">
        <x:v>5</x:v>
      </x:c>
      <x:c r="N44" s="52" t="n">
        <x:v>774</x:v>
      </x:c>
      <x:c r="O44" s="52" t="n">
        <x:v>27</x:v>
      </x:c>
      <x:c r="P44" s="20" t="str"/>
      <x:c r="Q44" s="20" t="str">
        <x:v>JCB ecosystem architect, registry maintainer and release contributor</x:v>
      </x:c>
      <x:c r="R44" s="20" t="str">
        <x:v>Intermediate to senior</x:v>
      </x:c>
      <x:c r="S44" s="20" t="str">
        <x:v>Repository-index data used to discover and coordinate JCB ecosystem sources and delivery surfaces.</x:v>
      </x:c>
      <x:c r="T44" s="20" t="str">
        <x:v>Supports automated ecosystem discovery and distribution without hard-coding repository knowledge into individual projects.</x:v>
      </x:c>
      <x:c r="U44" s="20" t="str">
        <x:v>Canonical inclusion refreshed 28 July 2026. Contribution metrics are the identity-aware repository snapshot from 18 July 2026 and must not be summed across repositories.</x:v>
      </x:c>
      <x:c r="V44" s="16" t="str">
        <x:v>https://github.com/joomengine/repoindex</x:v>
      </x:c>
      <x:c r="W44" s="16" t="str">
        <x:v>https://github.com/joomengine/repoindex</x:v>
      </x:c>
      <x:c r="X44" s="20" t="str">
        <x:v>primary</x:v>
      </x:c>
    </x:row>
    <x:row r="45" ht="72" hidden="0" customHeight="1">
      <x:c r="A45" s="25" t="n">
        <x:v>41</x:v>
      </x:c>
      <x:c r="B45" s="26" t="str">
        <x:v>Supporting</x:v>
      </x:c>
      <x:c r="C45" s="25" t="str">
        <x:v>Joomla Component Builder &amp; JoomEngine</x:v>
      </x:c>
      <x:c r="D45" s="25" t="str">
        <x:v>joomengine/search</x:v>
      </x:c>
      <x:c r="E45" s="20" t="str">
        <x:v>joomengine</x:v>
      </x:c>
      <x:c r="F45" s="51" t="n">
        <x:v>45031</x:v>
      </x:c>
      <x:c r="G45" s="51" t="n">
        <x:v>46105</x:v>
      </x:c>
      <x:c r="H45" s="20" t="str">
        <x:v>Current/present-day public activity evidenced in 2026</x:v>
      </x:c>
      <x:c r="I45" s="52" t="n">
        <x:v>22</x:v>
      </x:c>
      <x:c r="J45" s="52" t="n">
        <x:v>20</x:v>
      </x:c>
      <x:c r="K45" s="52" t="n">
        <x:v>14</x:v>
      </x:c>
      <x:c r="L45" s="52" t="n">
        <x:v>12515</x:v>
      </x:c>
      <x:c r="M45" s="52" t="n">
        <x:v>2434</x:v>
      </x:c>
      <x:c r="N45" s="52" t="n">
        <x:v>14949</x:v>
      </x:c>
      <x:c r="O45" s="52" t="n">
        <x:v>103</x:v>
      </x:c>
      <x:c r="P45" s="20" t="str">
        <x:v>PHP</x:v>
      </x:c>
      <x:c r="Q45" s="20" t="str">
        <x:v>JCB ecosystem architect, registry maintainer and release contributor</x:v>
      </x:c>
      <x:c r="R45" s="20" t="str">
        <x:v>Senior</x:v>
      </x:c>
      <x:c r="S45" s="20" t="str">
        <x:v>Reusable JCB Super Power registry for search abstractions and service integrations.</x:v>
      </x:c>
      <x:c r="T45" s="20" t="str">
        <x:v>Provides a maintained search capability that can be shared across generated Joomla applications.</x:v>
      </x:c>
      <x:c r="U45" s="20" t="str">
        <x:v>Canonical inclusion refreshed 28 July 2026. Contribution metrics are the identity-aware repository snapshot from 18 July 2026 and must not be summed across repositories.</x:v>
      </x:c>
      <x:c r="V45" s="16" t="str">
        <x:v>https://github.com/joomengine/search</x:v>
      </x:c>
      <x:c r="W45" s="16" t="str">
        <x:v>https://github.com/joomengine/search</x:v>
      </x:c>
      <x:c r="X45" s="20" t="str">
        <x:v>primary</x:v>
      </x:c>
    </x:row>
    <x:row r="46" ht="72" hidden="0" customHeight="1">
      <x:c r="A46" s="25" t="n">
        <x:v>42</x:v>
      </x:c>
      <x:c r="B46" s="26" t="str">
        <x:v>Supporting</x:v>
      </x:c>
      <x:c r="C46" s="25" t="str">
        <x:v>Joomla Component Builder &amp; JoomEngine</x:v>
      </x:c>
      <x:c r="D46" s="25" t="str">
        <x:v>joomengine/snippets</x:v>
      </x:c>
      <x:c r="E46" s="20" t="str">
        <x:v>joomengine</x:v>
      </x:c>
      <x:c r="F46" s="51" t="n">
        <x:v>45826</x:v>
      </x:c>
      <x:c r="G46" s="51" t="n">
        <x:v>45826</x:v>
      </x:c>
      <x:c r="H46" s="20" t="str">
        <x:v>Recent public activity; latest attributable commit 2025-06-18</x:v>
      </x:c>
      <x:c r="I46" s="52" t="n">
        <x:v>753</x:v>
      </x:c>
      <x:c r="J46" s="52" t="n">
        <x:v>1</x:v>
      </x:c>
      <x:c r="K46" s="52" t="n">
        <x:v>1</x:v>
      </x:c>
      <x:c r="L46" s="52" t="n">
        <x:v>26468</x:v>
      </x:c>
      <x:c r="M46" s="52" t="n">
        <x:v>2</x:v>
      </x:c>
      <x:c r="N46" s="52" t="n">
        <x:v>26470</x:v>
      </x:c>
      <x:c r="O46" s="52" t="n">
        <x:v>750</x:v>
      </x:c>
      <x:c r="P46" s="20" t="str">
        <x:v>HTML, CSS, JavaScript, Joomla, generated registries</x:v>
      </x:c>
      <x:c r="Q46" s="20" t="str">
        <x:v>JCB ecosystem architect, registry maintainer and release contributor</x:v>
      </x:c>
      <x:c r="R46" s="20" t="str">
        <x:v>Supporting / bounded</x:v>
      </x:c>
      <x:c r="S46" s="20" t="str">
        <x:v>Reusable UI, HTML and layout-snippet registry for JCB-built Joomla views and templates.</x:v>
      </x:c>
      <x:c r="T46" s="20" t="str">
        <x:v>Encodes presentation knowledge as reusable, version-controlled building blocks for generated applications.</x:v>
      </x:c>
      <x:c r="U46" s="20" t="str">
        <x:v>Canonical inclusion refreshed 28 July 2026. Contribution metrics are the identity-aware repository snapshot from 18 July 2026 and must not be summed across repositories.</x:v>
      </x:c>
      <x:c r="V46" s="16" t="str">
        <x:v>https://github.com/joomengine/snippets</x:v>
      </x:c>
      <x:c r="W46" s="16" t="str">
        <x:v>https://github.com/joomengine/snippets</x:v>
      </x:c>
      <x:c r="X46" s="20" t="str">
        <x:v>primary</x:v>
      </x:c>
    </x:row>
    <x:row r="47" ht="72" hidden="0" customHeight="1">
      <x:c r="A47" s="25" t="n">
        <x:v>43</x:v>
      </x:c>
      <x:c r="B47" s="26" t="str">
        <x:v>Supporting</x:v>
      </x:c>
      <x:c r="C47" s="25" t="str">
        <x:v>Joomla Component Builder &amp; JoomEngine</x:v>
      </x:c>
      <x:c r="D47" s="25" t="str">
        <x:v>joomengine/uikit</x:v>
      </x:c>
      <x:c r="E47" s="20" t="str">
        <x:v>joomengine</x:v>
      </x:c>
      <x:c r="F47" s="51" t="n">
        <x:v>44078</x:v>
      </x:c>
      <x:c r="G47" s="51" t="n">
        <x:v>46020</x:v>
      </x:c>
      <x:c r="H47" s="20" t="str">
        <x:v>Recent public activity; latest attributable commit 2025-12-29</x:v>
      </x:c>
      <x:c r="I47" s="52" t="n">
        <x:v>8</x:v>
      </x:c>
      <x:c r="J47" s="52" t="n">
        <x:v>7</x:v>
      </x:c>
      <x:c r="K47" s="52" t="n">
        <x:v>4</x:v>
      </x:c>
      <x:c r="L47" s="52" t="n">
        <x:v>5893</x:v>
      </x:c>
      <x:c r="M47" s="52" t="n">
        <x:v>564</x:v>
      </x:c>
      <x:c r="N47" s="52" t="n">
        <x:v>6457</x:v>
      </x:c>
      <x:c r="O47" s="52" t="n">
        <x:v>19</x:v>
      </x:c>
      <x:c r="P47" s="20" t="str">
        <x:v>JavaScript</x:v>
      </x:c>
      <x:c r="Q47" s="20" t="str">
        <x:v>JCB ecosystem architect, registry maintainer and release contributor</x:v>
      </x:c>
      <x:c r="R47" s="20" t="str">
        <x:v>Intermediate to senior</x:v>
      </x:c>
      <x:c r="S47" s="20" t="str">
        <x:v>Maintained UIkit integration assets and compatibility surface for JCB-generated application interfaces.</x:v>
      </x:c>
      <x:c r="T47" s="20" t="str">
        <x:v>Preserves reusable front-end integration across Joomla application generations.</x:v>
      </x:c>
      <x:c r="U47" s="20" t="str">
        <x:v>Canonical inclusion refreshed 28 July 2026. Contribution metrics are the identity-aware repository snapshot from 18 July 2026 and must not be summed across repositories.</x:v>
      </x:c>
      <x:c r="V47" s="16" t="str">
        <x:v>https://github.com/joomengine/uikit</x:v>
      </x:c>
      <x:c r="W47" s="16" t="str">
        <x:v>https://github.com/joomengine/uikit</x:v>
      </x:c>
      <x:c r="X47" s="20" t="str">
        <x:v>primary</x:v>
      </x:c>
    </x:row>
    <x:row r="48" ht="72" hidden="0" customHeight="1">
      <x:c r="A48" s="25" t="n">
        <x:v>44</x:v>
      </x:c>
      <x:c r="B48" s="26" t="str">
        <x:v>Supporting</x:v>
      </x:c>
      <x:c r="C48" s="25" t="str">
        <x:v>GetBible Scripture Platform</x:v>
      </x:c>
      <x:c r="D48" s="25" t="str">
        <x:v>getbible/app.getbible.life</x:v>
      </x:c>
      <x:c r="E48" s="20" t="str">
        <x:v>getbible</x:v>
      </x:c>
      <x:c r="F48" s="51" t="n">
        <x:v>46219</x:v>
      </x:c>
      <x:c r="G48" s="51" t="n">
        <x:v>46220</x:v>
      </x:c>
      <x:c r="H48" s="20" t="str">
        <x:v>Current/present-day public activity evidenced in 2026</x:v>
      </x:c>
      <x:c r="I48" s="52" t="n">
        <x:v>9</x:v>
      </x:c>
      <x:c r="J48" s="52" t="n">
        <x:v>2</x:v>
      </x:c>
      <x:c r="K48" s="52" t="n">
        <x:v>1</x:v>
      </x:c>
      <x:c r="L48" s="52" t="n">
        <x:v>1995</x:v>
      </x:c>
      <x:c r="M48" s="52" t="n">
        <x:v>396</x:v>
      </x:c>
      <x:c r="N48" s="52" t="n">
        <x:v>2391</x:v>
      </x:c>
      <x:c r="O48" s="52" t="n">
        <x:v>86</x:v>
      </x:c>
      <x:c r="P48" s="20" t="str">
        <x:v>TypeScript, CSS, TypeScript/React</x:v>
      </x:c>
      <x:c r="Q48" s="20" t="str">
        <x:v>Project owner and lead engineering contributor</x:v>
      </x:c>
      <x:c r="R48" s="20" t="str">
        <x:v>Intermediate to senior</x:v>
      </x:c>
      <x:c r="S48" s="20" t="str">
        <x:v>React/TypeScript GetBible reader application and behavioural source of truth for the native Flutter implementation.</x:v>
      </x:c>
      <x:c r="T48" s="20" t="str">
        <x:v>Extends the GetBible platform into maintained end-user application surfaces and cross-platform distribution.</x:v>
      </x:c>
      <x:c r="U48" s="20" t="str">
        <x:v>Canonical inclusion refreshed 28 July 2026. Contribution metrics are the identity-aware repository snapshot from 18 July 2026 and must not be summed across repositories.</x:v>
      </x:c>
      <x:c r="V48" s="16" t="str">
        <x:v>https://github.com/getbible/app.getbible.life</x:v>
      </x:c>
      <x:c r="W48" s="16" t="str">
        <x:v>https://github.com/getbible/app.getbible.life</x:v>
      </x:c>
      <x:c r="X48" s="20" t="str">
        <x:v>primary</x:v>
      </x:c>
    </x:row>
    <x:row r="49" ht="72" hidden="0" customHeight="1">
      <x:c r="A49" s="25" t="n">
        <x:v>45</x:v>
      </x:c>
      <x:c r="B49" s="26" t="str">
        <x:v>Supporting</x:v>
      </x:c>
      <x:c r="C49" s="25" t="str">
        <x:v>GetBible Scripture Platform</x:v>
      </x:c>
      <x:c r="D49" s="25" t="str">
        <x:v>getbible/joomla-scripture-loader</x:v>
      </x:c>
      <x:c r="E49" s="20" t="str">
        <x:v>getbible</x:v>
      </x:c>
      <x:c r="F49" s="51" t="n">
        <x:v>45239</x:v>
      </x:c>
      <x:c r="G49" s="51" t="n">
        <x:v>45979</x:v>
      </x:c>
      <x:c r="H49" s="20" t="str">
        <x:v>Recent public activity; latest attributable commit 2025-11-18</x:v>
      </x:c>
      <x:c r="I49" s="52" t="n">
        <x:v>34</x:v>
      </x:c>
      <x:c r="J49" s="52" t="n">
        <x:v>29</x:v>
      </x:c>
      <x:c r="K49" s="52" t="n">
        <x:v>9</x:v>
      </x:c>
      <x:c r="L49" s="52" t="n">
        <x:v>504</x:v>
      </x:c>
      <x:c r="M49" s="52" t="n">
        <x:v>163</x:v>
      </x:c>
      <x:c r="N49" s="52" t="n">
        <x:v>667</x:v>
      </x:c>
      <x:c r="O49" s="52" t="n">
        <x:v>15</x:v>
      </x:c>
      <x:c r="P49" s="20" t="str">
        <x:v>PHP, HTML</x:v>
      </x:c>
      <x:c r="Q49" s="20" t="str">
        <x:v>Project owner and lead engineering contributor</x:v>
      </x:c>
      <x:c r="R49" s="20" t="str">
        <x:v>Intermediate to senior</x:v>
      </x:c>
      <x:c r="S49" s="20" t="str">
        <x:v>Joomla content plugin mirror for loading scripture in articles and other content.</x:v>
      </x:c>
      <x:c r="T49" s="20" t="str">
        <x:v>Adds a maintained capability to the GetBible, JCB, Joomla/Docker, or VDM open-source ecosystem.</x:v>
      </x:c>
      <x:c r="U49" s="20" t="str">
        <x:v>Canonical inclusion refreshed 28 July 2026. Contribution metrics are the identity-aware repository snapshot from 18 July 2026 and must not be summed across repositories.</x:v>
      </x:c>
      <x:c r="V49" s="16" t="str">
        <x:v>https://github.com/getbible/joomla-scripture-loader</x:v>
      </x:c>
      <x:c r="W49" s="16" t="str">
        <x:v>https://github.com/getbible/joomla-scripture-loader</x:v>
      </x:c>
      <x:c r="X49" s="20" t="str">
        <x:v>primary</x:v>
      </x:c>
    </x:row>
    <x:row r="50" ht="72" hidden="0" customHeight="1">
      <x:c r="A50" s="25" t="n">
        <x:v>46</x:v>
      </x:c>
      <x:c r="B50" s="26" t="str">
        <x:v>Supporting</x:v>
      </x:c>
      <x:c r="C50" s="25" t="str">
        <x:v>GetBible Scripture Platform</x:v>
      </x:c>
      <x:c r="D50" s="25" t="str">
        <x:v>getbible/v1_study_builder</x:v>
      </x:c>
      <x:c r="E50" s="20" t="str">
        <x:v>getbible</x:v>
      </x:c>
      <x:c r="F50" s="51" t="n">
        <x:v>46221</x:v>
      </x:c>
      <x:c r="G50" s="51" t="n">
        <x:v>46221</x:v>
      </x:c>
      <x:c r="H50" s="20" t="str">
        <x:v>Current/present-day public activity evidenced in 2026</x:v>
      </x:c>
      <x:c r="I50" s="52" t="n">
        <x:v>11</x:v>
      </x:c>
      <x:c r="J50" s="52" t="n">
        <x:v>1</x:v>
      </x:c>
      <x:c r="K50" s="52" t="n">
        <x:v>1</x:v>
      </x:c>
      <x:c r="L50" s="52" t="n">
        <x:v>4511</x:v>
      </x:c>
      <x:c r="M50" s="52" t="n">
        <x:v>108</x:v>
      </x:c>
      <x:c r="N50" s="52" t="n">
        <x:v>4619</x:v>
      </x:c>
      <x:c r="O50" s="52" t="n">
        <x:v>54</x:v>
      </x:c>
      <x:c r="P50" s="20" t="str">
        <x:v>Python</x:v>
      </x:c>
      <x:c r="Q50" s="20" t="str">
        <x:v>Project owner and lead engineering contributor</x:v>
      </x:c>
      <x:c r="R50" s="20" t="str">
        <x:v>Senior</x:v>
      </x:c>
      <x:c r="S50" s="20" t="str">
        <x:v>Python pipeline that validates and normalizes SWORD commentary and dictionary exports into independently deployable static JSON APIs.</x:v>
      </x:c>
      <x:c r="T50" s="20" t="str">
        <x:v>Adds a maintained capability to the GetBible, JCB, Joomla/Docker, or VDM open-source ecosystem.</x:v>
      </x:c>
      <x:c r="U50" s="20" t="str">
        <x:v>Canonical inclusion refreshed 28 July 2026. Contribution metrics are the identity-aware repository snapshot from 18 July 2026 and must not be summed across repositories.</x:v>
      </x:c>
      <x:c r="V50" s="16" t="str">
        <x:v>https://github.com/getbible/v1_study_builder</x:v>
      </x:c>
      <x:c r="W50" s="16" t="str">
        <x:v>https://github.com/getbible/v1_study_builder</x:v>
      </x:c>
      <x:c r="X50" s="20" t="str">
        <x:v>primary</x:v>
      </x:c>
    </x:row>
    <x:row r="51" ht="72" hidden="0" customHeight="1">
      <x:c r="A51" s="25" t="n">
        <x:v>47</x:v>
      </x:c>
      <x:c r="B51" s="26" t="str">
        <x:v>Supporting</x:v>
      </x:c>
      <x:c r="C51" s="25" t="str">
        <x:v>OctoLeo Automation &amp; Deployment</x:v>
      </x:c>
      <x:c r="D51" s="25" t="str">
        <x:v>octoleo/octodinator</x:v>
      </x:c>
      <x:c r="E51" s="20" t="str">
        <x:v>octoleo</x:v>
      </x:c>
      <x:c r="F51" s="51"/>
      <x:c r="G51" s="51" t="n">
        <x:v>45922</x:v>
      </x:c>
      <x:c r="H51" s="20" t="str">
        <x:v>Recent public activity reviewed 29 July 2026</x:v>
      </x:c>
      <x:c r="I51" s="52" t="n">
        <x:v>2</x:v>
      </x:c>
      <x:c r="J51" s="52" t="n">
        <x:v>1</x:v>
      </x:c>
      <x:c r="K51" s="52" t="n">
        <x:v>1</x:v>
      </x:c>
      <x:c r="L51" s="52"/>
      <x:c r="M51" s="52"/>
      <x:c r="N51" s="52"/>
      <x:c r="O51" s="52"/>
      <x:c r="P51" s="20" t="str">
        <x:v>Shell/Bash, JSON, process locks</x:v>
      </x:c>
      <x:c r="Q51" s="20" t="str">
        <x:v>Original author and maintainer</x:v>
      </x:c>
      <x:c r="R51" s="20" t="str">
        <x:v>Focused operational coordination utility authored by Llewellyn van der Merwe.</x:v>
      </x:c>
      <x:c r="S51" s="20" t="str">
        <x:v>First-start/last-stop lifecycle coordinator that uses shared lock state to run initialization once when the first process starts and cleanup once when the last process exits.</x:v>
      </x:c>
      <x:c r="T51" s="20" t="str">
        <x:v>Encodes safe multi-process lifecycle coordination and integrates naturally with OctoFlare security transitions.</x:v>
      </x:c>
      <x:c r="U51" s="20" t="str">
        <x:v>The public GitHub description incorrectly references OctoShoom; purpose is taken from the authored README and implementation. Recent project, so long-duration evidence is not claimed.</x:v>
      </x:c>
      <x:c r="V51" s="16" t="str">
        <x:v>https://github.com/octoleo/octodinator</x:v>
      </x:c>
      <x:c r="W51" s="16" t="str">
        <x:v>https://github.com/octoleo/octodinator</x:v>
      </x:c>
      <x:c r="X51" s="20" t="str">
        <x:v>source review 29 July 2026</x:v>
      </x:c>
    </x:row>
    <x:row r="52" ht="72" hidden="0" customHeight="1">
      <x:c r="A52" s="25" t="n">
        <x:v>48</x:v>
      </x:c>
      <x:c r="B52" s="26" t="str">
        <x:v>Supporting</x:v>
      </x:c>
      <x:c r="C52" s="25" t="str">
        <x:v>OctoLeo Automation &amp; Deployment</x:v>
      </x:c>
      <x:c r="D52" s="25" t="str">
        <x:v>octoleo/octoflare</x:v>
      </x:c>
      <x:c r="E52" s="20" t="str">
        <x:v>octoleo</x:v>
      </x:c>
      <x:c r="F52" s="51" t="n">
        <x:v>45672</x:v>
      </x:c>
      <x:c r="G52" s="51" t="n">
        <x:v>45672</x:v>
      </x:c>
      <x:c r="H52" s="20" t="str">
        <x:v>Recent maintenance history</x:v>
      </x:c>
      <x:c r="I52" s="52" t="n">
        <x:v>2</x:v>
      </x:c>
      <x:c r="J52" s="52" t="n">
        <x:v>1</x:v>
      </x:c>
      <x:c r="K52" s="52" t="n">
        <x:v>1</x:v>
      </x:c>
      <x:c r="L52" s="52" t="n">
        <x:v>734</x:v>
      </x:c>
      <x:c r="M52" s="52" t="n">
        <x:v>5</x:v>
      </x:c>
      <x:c r="N52" s="52" t="n">
        <x:v>739</x:v>
      </x:c>
      <x:c r="O52" s="52" t="n">
        <x:v>5</x:v>
      </x:c>
      <x:c r="P52" s="20" t="str">
        <x:v>Shell/Bash, Cloudflare API, JSON</x:v>
      </x:c>
      <x:c r="Q52" s="20" t="str">
        <x:v>Originator/maintainer of mirrored deliverable</x:v>
      </x:c>
      <x:c r="R52" s="20" t="str">
        <x:v>Focused supporting implementation evidence</x:v>
      </x:c>
      <x:c r="S52" s="20" t="str">
        <x:v>Focused Bash command-line utility for checking, enabling and disabling Cloudflare Under Attack Mode through the Cloudflare v4 API.</x:v>
      </x:c>
      <x:c r="T52" s="20" t="str">
        <x:v>Shows security-aware operational automation, explicit confirmation flows, API integration and repeatable incident-response tooling.</x:v>
      </x:c>
      <x:c r="U52" s="20" t="str">
        <x:v>Canonical inclusion refreshed 28 July 2026. Contribution metrics are the identity-aware repository snapshot from 18 July 2026 and must not be summed across repositories.</x:v>
      </x:c>
      <x:c r="V52" s="16" t="str">
        <x:v>https://github.com/octoleo/octoflare</x:v>
      </x:c>
      <x:c r="W52" s="16" t="str">
        <x:v>https://github.com/octoleo/octoflare/commit/4397aab603e0cea8e394bb9b5a151308ab478ba1</x:v>
      </x:c>
      <x:c r="X52" s="20" t="str">
        <x:v>extended</x:v>
      </x:c>
    </x:row>
    <x:row r="53" ht="72" hidden="0" customHeight="1">
      <x:c r="A53" s="25" t="n">
        <x:v>49</x:v>
      </x:c>
      <x:c r="B53" s="26" t="str">
        <x:v>Major</x:v>
      </x:c>
      <x:c r="C53" s="25" t="str">
        <x:v>OctoLeo Automation &amp; Deployment</x:v>
      </x:c>
      <x:c r="D53" s="25" t="str">
        <x:v>octoleo/octojpack</x:v>
      </x:c>
      <x:c r="E53" s="20" t="str">
        <x:v>octoleo</x:v>
      </x:c>
      <x:c r="F53" s="51" t="n">
        <x:v>44355</x:v>
      </x:c>
      <x:c r="G53" s="51" t="n">
        <x:v>45920</x:v>
      </x:c>
      <x:c r="H53" s="20" t="str">
        <x:v>Current / active within the last 12 months</x:v>
      </x:c>
      <x:c r="I53" s="52" t="n">
        <x:v>30</x:v>
      </x:c>
      <x:c r="J53" s="52" t="n">
        <x:v>19</x:v>
      </x:c>
      <x:c r="K53" s="52" t="n">
        <x:v>11</x:v>
      </x:c>
      <x:c r="L53" s="52" t="n">
        <x:v>2805</x:v>
      </x:c>
      <x:c r="M53" s="52" t="n">
        <x:v>528</x:v>
      </x:c>
      <x:c r="N53" s="52" t="n">
        <x:v>3333</x:v>
      </x:c>
      <x:c r="O53" s="52" t="n">
        <x:v>6</x:v>
      </x:c>
      <x:c r="P53" s="20" t="str">
        <x:v>Shell/Bash, JSON, Joomla packaging, CI/CD</x:v>
      </x:c>
      <x:c r="Q53" s="20" t="str">
        <x:v>Originator/maintainer of mirrored deliverable</x:v>
      </x:c>
      <x:c r="R53" s="20" t="str">
        <x:v>Intermediate-to-senior applied engineering evidence</x:v>
      </x:c>
      <x:c r="S53" s="20" t="str">
        <x:v>JSON- and environment-driven Bash packaging engine for Joomla extensions, including source collection, manifest assembly, archive creation and release-oriented output.</x:v>
      </x:c>
      <x:c r="T53" s="20" t="str">
        <x:v>Turns a complex Joomla release procedure into a reusable, deterministic packaging system used across a wider extension ecosystem.</x:v>
      </x:c>
      <x:c r="U53" s="20" t="str">
        <x:v>Canonical inclusion refreshed 28 July 2026. Contribution metrics are the identity-aware repository snapshot from 18 July 2026 and must not be summed across repositories.</x:v>
      </x:c>
      <x:c r="V53" s="16" t="str">
        <x:v>https://github.com/octoleo/octojpack</x:v>
      </x:c>
      <x:c r="W53" s="16" t="str">
        <x:v>https://github.com/octoleo/octojpack/commit/aa0ea266a41b6ed199b15909fd787db5b7cd590e</x:v>
      </x:c>
      <x:c r="X53" s="20" t="str">
        <x:v>extended</x:v>
      </x:c>
    </x:row>
    <x:row r="54" ht="72" hidden="0" customHeight="1">
      <x:c r="A54" s="25" t="n">
        <x:v>50</x:v>
      </x:c>
      <x:c r="B54" s="26" t="str">
        <x:v>Supporting</x:v>
      </x:c>
      <x:c r="C54" s="25" t="str">
        <x:v>OctoLeo Automation &amp; Deployment</x:v>
      </x:c>
      <x:c r="D54" s="25" t="str">
        <x:v>octoleo/octolanding</x:v>
      </x:c>
      <x:c r="E54" s="20" t="str">
        <x:v>octoleo</x:v>
      </x:c>
      <x:c r="F54" s="51" t="n">
        <x:v>46045</x:v>
      </x:c>
      <x:c r="G54" s="51" t="n">
        <x:v>46045</x:v>
      </x:c>
      <x:c r="H54" s="20" t="str">
        <x:v>Current / active within the last 12 months</x:v>
      </x:c>
      <x:c r="I54" s="52" t="n">
        <x:v>3</x:v>
      </x:c>
      <x:c r="J54" s="52" t="n">
        <x:v>1</x:v>
      </x:c>
      <x:c r="K54" s="52" t="n">
        <x:v>1</x:v>
      </x:c>
      <x:c r="L54" s="52" t="n">
        <x:v>365</x:v>
      </x:c>
      <x:c r="M54" s="52" t="n">
        <x:v>5</x:v>
      </x:c>
      <x:c r="N54" s="52" t="n">
        <x:v>370</x:v>
      </x:c>
      <x:c r="O54" s="52" t="n">
        <x:v>7</x:v>
      </x:c>
      <x:c r="P54" s="20" t="str">
        <x:v>YAML/CI, HTML, Docker</x:v>
      </x:c>
      <x:c r="Q54" s="20" t="str">
        <x:v>Principal or sole recorded author</x:v>
      </x:c>
      <x:c r="R54" s="20" t="str">
        <x:v>Focused supporting implementation evidence</x:v>
      </x:c>
      <x:c r="S54" s="20" t="str">
        <x:v>Minimal container-ready static landing surface for infrastructure endpoints, reverse proxies and default service routes.</x:v>
      </x:c>
      <x:c r="T54" s="20" t="str">
        <x:v>Provides a small but production-oriented operational component with container and deployment integration.</x:v>
      </x:c>
      <x:c r="U54" s="20" t="str">
        <x:v>Canonical inclusion refreshed 28 July 2026. Contribution metrics are the identity-aware repository snapshot from 18 July 2026 and must not be summed across repositories.</x:v>
      </x:c>
      <x:c r="V54" s="16" t="str">
        <x:v>https://github.com/octoleo/octolanding</x:v>
      </x:c>
      <x:c r="W54" s="16" t="str">
        <x:v>https://github.com/octoleo/octolanding/commit/50c3e6c57afe851562b7302fe70dff8faedc2dc1</x:v>
      </x:c>
      <x:c r="X54" s="20" t="str">
        <x:v>extended</x:v>
      </x:c>
    </x:row>
    <x:row r="55" ht="72" hidden="0" customHeight="1">
      <x:c r="A55" s="25" t="n">
        <x:v>51</x:v>
      </x:c>
      <x:c r="B55" s="26" t="str">
        <x:v>Major</x:v>
      </x:c>
      <x:c r="C55" s="25" t="str">
        <x:v>OctoLeo Automation &amp; Deployment</x:v>
      </x:c>
      <x:c r="D55" s="25" t="str">
        <x:v>octoleo/octopower</x:v>
      </x:c>
      <x:c r="E55" s="20" t="str">
        <x:v>octoleo</x:v>
      </x:c>
      <x:c r="F55" s="51" t="n">
        <x:v>44355</x:v>
      </x:c>
      <x:c r="G55" s="51" t="n">
        <x:v>45740</x:v>
      </x:c>
      <x:c r="H55" s="20" t="str">
        <x:v>Recent maintenance history</x:v>
      </x:c>
      <x:c r="I55" s="52" t="n">
        <x:v>34</x:v>
      </x:c>
      <x:c r="J55" s="52" t="n">
        <x:v>22</x:v>
      </x:c>
      <x:c r="K55" s="52" t="n">
        <x:v>9</x:v>
      </x:c>
      <x:c r="L55" s="52" t="n">
        <x:v>6789</x:v>
      </x:c>
      <x:c r="M55" s="52" t="n">
        <x:v>4122</x:v>
      </x:c>
      <x:c r="N55" s="52" t="n">
        <x:v>10911</x:v>
      </x:c>
      <x:c r="O55" s="52" t="n">
        <x:v>9</x:v>
      </x:c>
      <x:c r="P55" s="20" t="str">
        <x:v>Shell/Bash, PHP, Composer, JSON, CI/CD</x:v>
      </x:c>
      <x:c r="Q55" s="20" t="str">
        <x:v>Originator/maintainer of mirrored deliverable</x:v>
      </x:c>
      <x:c r="R55" s="20" t="str">
        <x:v>Intermediate-to-senior applied engineering evidence</x:v>
      </x:c>
      <x:c r="S55" s="20" t="str">
        <x:v>Bash packaging system that extracts and assembles Joomla Component Builder Power classes into versioned Composer-ready packages.</x:v>
      </x:c>
      <x:c r="T55" s="20" t="str">
        <x:v>Bridges JCB's reusable class model with conventional PHP distribution and demonstrates source transformation, dependency packaging and release automation.</x:v>
      </x:c>
      <x:c r="U55" s="20" t="str">
        <x:v>Canonical inclusion refreshed 28 July 2026. Contribution metrics are the identity-aware repository snapshot from 18 July 2026 and must not be summed across repositories.</x:v>
      </x:c>
      <x:c r="V55" s="16" t="str">
        <x:v>https://github.com/octoleo/octopower</x:v>
      </x:c>
      <x:c r="W55" s="16" t="str">
        <x:v>https://github.com/octoleo/octopower/commit/aa0ea266a41b6ed199b15909fd787db5b7cd590e</x:v>
      </x:c>
      <x:c r="X55" s="20" t="str">
        <x:v>extended</x:v>
      </x:c>
    </x:row>
    <x:row r="56" ht="72" hidden="0" customHeight="1">
      <x:c r="A56" s="25" t="n">
        <x:v>52</x:v>
      </x:c>
      <x:c r="B56" s="26" t="str">
        <x:v>Major</x:v>
      </x:c>
      <x:c r="C56" s="25" t="str">
        <x:v>OctoLeo Automation &amp; Deployment</x:v>
      </x:c>
      <x:c r="D56" s="25" t="str">
        <x:v>octoleo/octoshoom</x:v>
      </x:c>
      <x:c r="E56" s="20" t="str">
        <x:v>octoleo</x:v>
      </x:c>
      <x:c r="F56" s="51" t="n">
        <x:v>44431</x:v>
      </x:c>
      <x:c r="G56" s="51" t="n">
        <x:v>45920</x:v>
      </x:c>
      <x:c r="H56" s="20" t="str">
        <x:v>Current / active within the last 12 months</x:v>
      </x:c>
      <x:c r="I56" s="52" t="n">
        <x:v>3</x:v>
      </x:c>
      <x:c r="J56" s="52" t="n">
        <x:v>3</x:v>
      </x:c>
      <x:c r="K56" s="52" t="n">
        <x:v>2</x:v>
      </x:c>
      <x:c r="L56" s="52" t="n">
        <x:v>867</x:v>
      </x:c>
      <x:c r="M56" s="52" t="n">
        <x:v>5</x:v>
      </x:c>
      <x:c r="N56" s="52" t="n">
        <x:v>872</x:v>
      </x:c>
      <x:c r="O56" s="52" t="n">
        <x:v>6</x:v>
      </x:c>
      <x:c r="P56" s="20" t="str">
        <x:v>Shell/Bash, SHA-512, XML, Git, CI/CD</x:v>
      </x:c>
      <x:c r="Q56" s="20" t="str">
        <x:v>Originator/maintainer of mirrored deliverable</x:v>
      </x:c>
      <x:c r="R56" s="20" t="str">
        <x:v>Focused supporting implementation evidence</x:v>
      </x:c>
      <x:c r="S56" s="20" t="str">
        <x:v>Release-integrity utility that calculates SHA-512 hashes for Joomla update archives, injects checksum elements into update XML and commits the resulting release metadata.</x:v>
      </x:c>
      <x:c r="T56" s="20" t="str">
        <x:v>Adds repeatable integrity controls to extension publication and connects archive production, metadata mutation and source-controlled release evidence.</x:v>
      </x:c>
      <x:c r="U56" s="20" t="str">
        <x:v>Canonical inclusion refreshed 28 July 2026. Contribution metrics are the identity-aware repository snapshot from 18 July 2026 and must not be summed across repositories.</x:v>
      </x:c>
      <x:c r="V56" s="16" t="str">
        <x:v>https://github.com/octoleo/octoshoom</x:v>
      </x:c>
      <x:c r="W56" s="16" t="str">
        <x:v>https://github.com/octoleo/octoshoom/commit/c66813be8d99ecac20e1930aa5d1b5ba27644adf</x:v>
      </x:c>
      <x:c r="X56" s="20" t="str">
        <x:v>extended</x:v>
      </x:c>
    </x:row>
    <x:row r="57" ht="72" hidden="0" customHeight="1">
      <x:c r="A57" s="25" t="n">
        <x:v>53</x:v>
      </x:c>
      <x:c r="B57" s="26" t="str">
        <x:v>Major</x:v>
      </x:c>
      <x:c r="C57" s="25" t="str">
        <x:v>OctoLeo Automation &amp; Deployment</x:v>
      </x:c>
      <x:c r="D57" s="25" t="str">
        <x:v>octoleo/octozipo</x:v>
      </x:c>
      <x:c r="E57" s="20" t="str">
        <x:v>octoleo</x:v>
      </x:c>
      <x:c r="F57" s="51" t="n">
        <x:v>44146</x:v>
      </x:c>
      <x:c r="G57" s="51" t="n">
        <x:v>45992</x:v>
      </x:c>
      <x:c r="H57" s="20" t="str">
        <x:v>Current / active within the last 12 months</x:v>
      </x:c>
      <x:c r="I57" s="52" t="n">
        <x:v>27</x:v>
      </x:c>
      <x:c r="J57" s="52" t="n">
        <x:v>21</x:v>
      </x:c>
      <x:c r="K57" s="52" t="n">
        <x:v>11</x:v>
      </x:c>
      <x:c r="L57" s="52" t="n">
        <x:v>2748</x:v>
      </x:c>
      <x:c r="M57" s="52" t="n">
        <x:v>905</x:v>
      </x:c>
      <x:c r="N57" s="52" t="n">
        <x:v>3653</x:v>
      </x:c>
      <x:c r="O57" s="52" t="n">
        <x:v>6</x:v>
      </x:c>
      <x:c r="P57" s="20" t="str">
        <x:v>Shell/Bash, Git, archives, release automation</x:v>
      </x:c>
      <x:c r="Q57" s="20" t="str">
        <x:v>Originator/maintainer of mirrored deliverable</x:v>
      </x:c>
      <x:c r="R57" s="20" t="str">
        <x:v>Intermediate-to-senior applied engineering evidence</x:v>
      </x:c>
      <x:c r="S57" s="20" t="str">
        <x:v>Bash utility for unpacking release archives, transforming their contents and updating target repositories as part of a repeatable delivery workflow.</x:v>
      </x:c>
      <x:c r="T57" s="20" t="str">
        <x:v>Demonstrates practical release engineering, source transformation and reliable propagation of packaged deliverables.</x:v>
      </x:c>
      <x:c r="U57" s="20" t="str">
        <x:v>Canonical inclusion refreshed 28 July 2026. Contribution metrics are the identity-aware repository snapshot from 18 July 2026 and must not be summed across repositories.</x:v>
      </x:c>
      <x:c r="V57" s="16" t="str">
        <x:v>https://github.com/octoleo/octozipo</x:v>
      </x:c>
      <x:c r="W57" s="16" t="str">
        <x:v>https://github.com/octoleo/octozipo/commit/994dcb55276ab8b2f20ac559392dab7dfc4fc4f1</x:v>
      </x:c>
      <x:c r="X57" s="20" t="str">
        <x:v>extended</x:v>
      </x:c>
    </x:row>
    <x:row r="58" ht="72" hidden="0" customHeight="1">
      <x:c r="A58" s="25" t="n">
        <x:v>54</x:v>
      </x:c>
      <x:c r="B58" s="26" t="str">
        <x:v>Supporting</x:v>
      </x:c>
      <x:c r="C58" s="25" t="str">
        <x:v>OctoLeo Automation &amp; Deployment</x:v>
      </x:c>
      <x:c r="D58" s="25" t="str">
        <x:v>octoleo/plantuml-gitea</x:v>
      </x:c>
      <x:c r="E58" s="20" t="str">
        <x:v>octoleo</x:v>
      </x:c>
      <x:c r="F58" s="51" t="n">
        <x:v>44795</x:v>
      </x:c>
      <x:c r="G58" s="51" t="n">
        <x:v>45975</x:v>
      </x:c>
      <x:c r="H58" s="20" t="str">
        <x:v>Current / active within the last 12 months</x:v>
      </x:c>
      <x:c r="I58" s="52" t="n">
        <x:v>5</x:v>
      </x:c>
      <x:c r="J58" s="52" t="n">
        <x:v>2</x:v>
      </x:c>
      <x:c r="K58" s="52" t="n">
        <x:v>2</x:v>
      </x:c>
      <x:c r="L58" s="52" t="n">
        <x:v>413</x:v>
      </x:c>
      <x:c r="M58" s="52" t="n">
        <x:v>252</x:v>
      </x:c>
      <x:c r="N58" s="52" t="n">
        <x:v>665</x:v>
      </x:c>
      <x:c r="O58" s="52" t="n">
        <x:v>5</x:v>
      </x:c>
      <x:c r="P58" s="20" t="str">
        <x:v>JavaScript, PlantUML, Gitea, HTML</x:v>
      </x:c>
      <x:c r="Q58" s="20" t="str">
        <x:v>Adapter and maintainer of the Gitea integration</x:v>
      </x:c>
      <x:c r="R58" s="20" t="str">
        <x:v>Focused supporting implementation evidence</x:v>
      </x:c>
      <x:c r="S58" s="20" t="str">
        <x:v>JavaScript integration that renders PlantUML embedded in Gitea-hosted Markdown and HTML code blocks.</x:v>
      </x:c>
      <x:c r="T58" s="20" t="str">
        <x:v>Connects documentation-as-code with self-hosted Git infrastructure, improving the accessibility of architecture diagrams in engineering workflows.</x:v>
      </x:c>
      <x:c r="U58" s="20" t="str">
        <x:v>Canonical inclusion refreshed 28 July 2026. Contribution metrics are the identity-aware repository snapshot from 18 July 2026 and must not be summed across repositories.</x:v>
      </x:c>
      <x:c r="V58" s="16" t="str">
        <x:v>https://github.com/octoleo/plantuml-gitea</x:v>
      </x:c>
      <x:c r="W58" s="16" t="str">
        <x:v>https://github.com/octoleo/plantuml-gitea/commit/a3076b707ad6061bd0c359664dae93467a9a641e</x:v>
      </x:c>
      <x:c r="X58" s="20" t="str">
        <x:v>extended</x:v>
      </x:c>
    </x:row>
    <x:row r="59" ht="72" hidden="0" customHeight="1">
      <x:c r="A59" s="25" t="n">
        <x:v>55</x:v>
      </x:c>
      <x:c r="B59" s="26" t="str">
        <x:v>Supporting</x:v>
      </x:c>
      <x:c r="C59" s="25" t="str">
        <x:v>Christian Publishing &amp; Ministry Systems</x:v>
      </x:c>
      <x:c r="D59" s="25" t="str">
        <x:v>trueChristian/hymnbook-creator</x:v>
      </x:c>
      <x:c r="E59" s="20" t="str">
        <x:v>trueChristian</x:v>
      </x:c>
      <x:c r="F59" s="51" t="n">
        <x:v>46082</x:v>
      </x:c>
      <x:c r="G59" s="51" t="n">
        <x:v>46082</x:v>
      </x:c>
      <x:c r="H59" s="20" t="str">
        <x:v>Current / active within the last 12 months</x:v>
      </x:c>
      <x:c r="I59" s="52" t="n">
        <x:v>1</x:v>
      </x:c>
      <x:c r="J59" s="52" t="n">
        <x:v>1</x:v>
      </x:c>
      <x:c r="K59" s="52" t="n">
        <x:v>1</x:v>
      </x:c>
      <x:c r="L59" s="52" t="n">
        <x:v>2933</x:v>
      </x:c>
      <x:c r="M59" s="52" t="n">
        <x:v>0</x:v>
      </x:c>
      <x:c r="N59" s="52" t="n">
        <x:v>2933</x:v>
      </x:c>
      <x:c r="O59" s="52" t="n">
        <x:v>11</x:v>
      </x:c>
      <x:c r="P59" s="20" t="str">
        <x:v>Make, Python</x:v>
      </x:c>
      <x:c r="Q59" s="20" t="str">
        <x:v>Principal or sole recorded author</x:v>
      </x:c>
      <x:c r="R59" s="20" t="str">
        <x:v>Focused supporting implementation evidence</x:v>
      </x:c>
      <x:c r="S59" s="20" t="str">
        <x:v>A Python hymn-booklet generation utility.</x:v>
      </x:c>
      <x:c r="T59" s="20" t="str">
        <x:v>Delivered attributable changes across 1 commits and 11 paths in trueChristian/hymnbook-creator; the visible history demonstrates hands-on implementation and maintenance of a python hymn-booklet generation utility.</x:v>
      </x:c>
      <x:c r="U59" s="20" t="str">
        <x:v>Canonical inclusion refreshed 28 July 2026. Contribution metrics are the identity-aware repository snapshot from 18 July 2026 and must not be summed across repositories.</x:v>
      </x:c>
      <x:c r="V59" s="16" t="str">
        <x:v>https://github.com/trueChristian/hymnbook-creator</x:v>
      </x:c>
      <x:c r="W59" s="16" t="str">
        <x:v>https://github.com/trueChristian/hymnbook-creator/commit/b6d7cbc3723ba02b4b4f280116d99afd087c19a6</x:v>
      </x:c>
      <x:c r="X59" s="20" t="str">
        <x:v>extended</x:v>
      </x:c>
    </x:row>
    <x:row r="60" ht="72" hidden="0" customHeight="1">
      <x:c r="A60" s="25" t="n">
        <x:v>56</x:v>
      </x:c>
      <x:c r="B60" s="26" t="str">
        <x:v>Supporting</x:v>
      </x:c>
      <x:c r="C60" s="25" t="str">
        <x:v>Christian Publishing &amp; Ministry Systems</x:v>
      </x:c>
      <x:c r="D60" s="25" t="str">
        <x:v>trueChristian/Joomla-Daily-Light</x:v>
      </x:c>
      <x:c r="E60" s="20" t="str">
        <x:v>trueChristian</x:v>
      </x:c>
      <x:c r="F60" s="51" t="n">
        <x:v>45025</x:v>
      </x:c>
      <x:c r="G60" s="51" t="n">
        <x:v>45979</x:v>
      </x:c>
      <x:c r="H60" s="20" t="str">
        <x:v>Current / active within the last 12 months</x:v>
      </x:c>
      <x:c r="I60" s="52" t="n">
        <x:v>44</x:v>
      </x:c>
      <x:c r="J60" s="52" t="n">
        <x:v>42</x:v>
      </x:c>
      <x:c r="K60" s="52" t="n">
        <x:v>14</x:v>
      </x:c>
      <x:c r="L60" s="52" t="n">
        <x:v>2340</x:v>
      </x:c>
      <x:c r="M60" s="52" t="n">
        <x:v>993</x:v>
      </x:c>
      <x:c r="N60" s="52" t="n">
        <x:v>3333</x:v>
      </x:c>
      <x:c r="O60" s="52" t="n">
        <x:v>24</x:v>
      </x:c>
      <x:c r="P60" s="20" t="str">
        <x:v>XML, PHP, HTML</x:v>
      </x:c>
      <x:c r="Q60" s="20" t="str">
        <x:v>Originator/maintainer of mirrored deliverable</x:v>
      </x:c>
      <x:c r="R60" s="20" t="str">
        <x:v>Intermediate-to-senior applied engineering evidence</x:v>
      </x:c>
      <x:c r="S60" s="20" t="str">
        <x:v>Joomla module delivering the Daily Light scripture-reading sequence from the maintained True Christian publishing data.</x:v>
      </x:c>
      <x:c r="T60" s="20" t="str">
        <x:v>Connects a maintained publishing dataset with reusable Joomla delivery and scheduled devotional presentation.</x:v>
      </x:c>
      <x:c r="U60" s="20" t="str">
        <x:v>Canonical inclusion refreshed 28 July 2026. Contribution metrics are the identity-aware repository snapshot from 18 July 2026 and must not be summed across repositories.</x:v>
      </x:c>
      <x:c r="V60" s="16" t="str">
        <x:v>https://github.com/trueChristian/Joomla-Daily-Light</x:v>
      </x:c>
      <x:c r="W60" s="16" t="str">
        <x:v>https://github.com/trueChristian/Joomla-Daily-Light/commit/53ba8c4ee2ad2bef0c9d58018442f16a24346121</x:v>
      </x:c>
      <x:c r="X60" s="20" t="str">
        <x:v>extended</x:v>
      </x:c>
    </x:row>
    <x:row r="61" ht="72" hidden="0" customHeight="1">
      <x:c r="A61" s="25" t="n">
        <x:v>57</x:v>
      </x:c>
      <x:c r="B61" s="26" t="str">
        <x:v>Supporting</x:v>
      </x:c>
      <x:c r="C61" s="25" t="str">
        <x:v>Christian Publishing &amp; Ministry Systems</x:v>
      </x:c>
      <x:c r="D61" s="25" t="str">
        <x:v>trueChristian/Joomla-Daily-Scripture</x:v>
      </x:c>
      <x:c r="E61" s="20" t="str">
        <x:v>trueChristian</x:v>
      </x:c>
      <x:c r="F61" s="51" t="n">
        <x:v>44565</x:v>
      </x:c>
      <x:c r="G61" s="51" t="n">
        <x:v>45979</x:v>
      </x:c>
      <x:c r="H61" s="20" t="str">
        <x:v>Current / active within the last 12 months</x:v>
      </x:c>
      <x:c r="I61" s="52" t="n">
        <x:v>53</x:v>
      </x:c>
      <x:c r="J61" s="52" t="n">
        <x:v>45</x:v>
      </x:c>
      <x:c r="K61" s="52" t="n">
        <x:v>14</x:v>
      </x:c>
      <x:c r="L61" s="52" t="n">
        <x:v>2372</x:v>
      </x:c>
      <x:c r="M61" s="52" t="n">
        <x:v>1143</x:v>
      </x:c>
      <x:c r="N61" s="52" t="n">
        <x:v>3515</x:v>
      </x:c>
      <x:c r="O61" s="52" t="n">
        <x:v>24</x:v>
      </x:c>
      <x:c r="P61" s="20" t="str">
        <x:v>XML, PHP, HTML</x:v>
      </x:c>
      <x:c r="Q61" s="20" t="str">
        <x:v>Originator/maintainer of mirrored deliverable</x:v>
      </x:c>
      <x:c r="R61" s="20" t="str">
        <x:v>Senior applied engineering evidence</x:v>
      </x:c>
      <x:c r="S61" s="20" t="str">
        <x:v>Joomla module for publishing the maintained Daily Scripture sequence within Joomla sites.</x:v>
      </x:c>
      <x:c r="T61" s="20" t="str">
        <x:v>Shows long-running content automation translated into a reusable application surface.</x:v>
      </x:c>
      <x:c r="U61" s="20" t="str">
        <x:v>Canonical inclusion refreshed 28 July 2026. Contribution metrics are the identity-aware repository snapshot from 18 July 2026 and must not be summed across repositories.</x:v>
      </x:c>
      <x:c r="V61" s="16" t="str">
        <x:v>https://github.com/trueChristian/Joomla-Daily-Scripture</x:v>
      </x:c>
      <x:c r="W61" s="16" t="str">
        <x:v>https://github.com/trueChristian/Joomla-Daily-Scripture/commit/5aff94d191b557dfde5aaa38d68bd4951e551492</x:v>
      </x:c>
      <x:c r="X61" s="20" t="str">
        <x:v>extended</x:v>
      </x:c>
    </x:row>
    <x:row r="62" ht="72" hidden="0" customHeight="1">
      <x:c r="A62" s="25" t="n">
        <x:v>58</x:v>
      </x:c>
      <x:c r="B62" s="26" t="str">
        <x:v>Supporting</x:v>
      </x:c>
      <x:c r="C62" s="25" t="str">
        <x:v>Christian Publishing &amp; Ministry Systems</x:v>
      </x:c>
      <x:c r="D62" s="25" t="str">
        <x:v>trueChristian/witnesses</x:v>
      </x:c>
      <x:c r="E62" s="20" t="str">
        <x:v>trueChristian</x:v>
      </x:c>
      <x:c r="F62" s="51" t="n">
        <x:v>44319</x:v>
      </x:c>
      <x:c r="G62" s="51" t="n">
        <x:v>46219</x:v>
      </x:c>
      <x:c r="H62" s="20" t="str">
        <x:v>Current / active within the last 12 months</x:v>
      </x:c>
      <x:c r="I62" s="52" t="n">
        <x:v>281</x:v>
      </x:c>
      <x:c r="J62" s="52" t="n">
        <x:v>271</x:v>
      </x:c>
      <x:c r="K62" s="52" t="n">
        <x:v>62</x:v>
      </x:c>
      <x:c r="L62" s="52" t="n">
        <x:v>1434</x:v>
      </x:c>
      <x:c r="M62" s="52" t="n">
        <x:v>420</x:v>
      </x:c>
      <x:c r="N62" s="52" t="n">
        <x:v>1854</x:v>
      </x:c>
      <x:c r="O62" s="52" t="n">
        <x:v>11</x:v>
      </x:c>
      <x:c r="P62" s="20" t="str">
        <x:v>YAML/CI, Shell/Bash</x:v>
      </x:c>
      <x:c r="Q62" s="20" t="str">
        <x:v>Principal or sole recorded author</x:v>
      </x:c>
      <x:c r="R62" s="20" t="str">
        <x:v>Senior applied engineering evidence</x:v>
      </x:c>
      <x:c r="S62" s="20" t="str">
        <x:v>An automated online witnessing/publication system.</x:v>
      </x:c>
      <x:c r="T62" s="20" t="str">
        <x:v>Delivered attributable changes across 281 commits and 11 paths in trueChristian/witnesses; the visible history demonstrates hands-on implementation and maintenance of an automated online witnessing/publication system.</x:v>
      </x:c>
      <x:c r="U62" s="20" t="str">
        <x:v>Canonical inclusion refreshed 28 July 2026. Contribution metrics are the identity-aware repository snapshot from 18 July 2026 and must not be summed across repositories.</x:v>
      </x:c>
      <x:c r="V62" s="16" t="str">
        <x:v>https://github.com/trueChristian/witnesses</x:v>
      </x:c>
      <x:c r="W62" s="16" t="str">
        <x:v>https://github.com/trueChristian/witnesses/commit/b66fd25c89bc98e335105ebba04eab7e123c073a</x:v>
      </x:c>
      <x:c r="X62" s="20" t="str">
        <x:v>extended</x:v>
      </x:c>
    </x:row>
    <x:row r="63" ht="72" hidden="0" customHeight="1">
      <x:c r="A63" s="25" t="n">
        <x:v>59</x:v>
      </x:c>
      <x:c r="B63" s="26" t="str">
        <x:v>Supporting</x:v>
      </x:c>
      <x:c r="C63" s="25" t="str">
        <x:v>Education &amp; C/C++ Foundations</x:v>
      </x:c>
      <x:c r="D63" s="25" t="str">
        <x:v>Llewellynvdm/game-of-life</x:v>
      </x:c>
      <x:c r="E63" s="20" t="str">
        <x:v>Llewellynvdm</x:v>
      </x:c>
      <x:c r="F63" s="51" t="n">
        <x:v>43955</x:v>
      </x:c>
      <x:c r="G63" s="51" t="n">
        <x:v>45304</x:v>
      </x:c>
      <x:c r="H63" s="20" t="str">
        <x:v>Recent maintenance history</x:v>
      </x:c>
      <x:c r="I63" s="52" t="n">
        <x:v>3</x:v>
      </x:c>
      <x:c r="J63" s="52" t="n">
        <x:v>2</x:v>
      </x:c>
      <x:c r="K63" s="52" t="n">
        <x:v>2</x:v>
      </x:c>
      <x:c r="L63" s="52" t="n">
        <x:v>2599</x:v>
      </x:c>
      <x:c r="M63" s="52" t="n">
        <x:v>6</x:v>
      </x:c>
      <x:c r="N63" s="52" t="n">
        <x:v>2605</x:v>
      </x:c>
      <x:c r="O63" s="52" t="n">
        <x:v>21</x:v>
      </x:c>
      <x:c r="P63" s="20" t="str">
        <x:v>C++, C</x:v>
      </x:c>
      <x:c r="Q63" s="20" t="str">
        <x:v>Principal or sole recorded author</x:v>
      </x:c>
      <x:c r="R63" s="20" t="str">
        <x:v>Foundational-to-intermediate academic implementation evidence</x:v>
      </x:c>
      <x:c r="S63" s="20" t="str">
        <x:v>C++ implementation of Conway's Game of Life used to demonstrate object-oriented modelling, state transitions and algorithmic reasoning.</x:v>
      </x:c>
      <x:c r="T63" s="20" t="str">
        <x:v>Provides public evidence of C++ implementation and formal software-development study.</x:v>
      </x:c>
      <x:c r="U63" s="20" t="str">
        <x:v>Canonical inclusion refreshed 28 July 2026. Contribution metrics are the identity-aware repository snapshot from 18 July 2026 and must not be summed across repositories.</x:v>
      </x:c>
      <x:c r="V63" s="16" t="str">
        <x:v>https://github.com/Llewellynvdm/game-of-life</x:v>
      </x:c>
      <x:c r="W63" s="16" t="str">
        <x:v>https://github.com/Llewellynvdm/game-of-life/commit/e11c82616389fa52e198e1e21adb5deb1c4b0015</x:v>
      </x:c>
      <x:c r="X63" s="20" t="str">
        <x:v>extended</x:v>
      </x:c>
    </x:row>
    <x:row r="64" ht="72" hidden="0" customHeight="1">
      <x:c r="A64" s="25" t="n">
        <x:v>60</x:v>
      </x:c>
      <x:c r="B64" s="26" t="str">
        <x:v>Supporting</x:v>
      </x:c>
      <x:c r="C64" s="25" t="str">
        <x:v>Joomla Applications &amp; Tooling</x:v>
      </x:c>
      <x:c r="D64" s="25" t="str">
        <x:v>Llewellynvdm/Joomla-Daily-Scripture</x:v>
      </x:c>
      <x:c r="E64" s="20" t="str">
        <x:v>Llewellynvdm</x:v>
      </x:c>
      <x:c r="F64" s="51" t="n">
        <x:v>44565</x:v>
      </x:c>
      <x:c r="G64" s="51" t="n">
        <x:v>45239</x:v>
      </x:c>
      <x:c r="H64" s="20" t="str">
        <x:v>Recent maintenance history</x:v>
      </x:c>
      <x:c r="I64" s="52" t="n">
        <x:v>20</x:v>
      </x:c>
      <x:c r="J64" s="52" t="n">
        <x:v>17</x:v>
      </x:c>
      <x:c r="K64" s="52" t="n">
        <x:v>6</x:v>
      </x:c>
      <x:c r="L64" s="52" t="n">
        <x:v>1304</x:v>
      </x:c>
      <x:c r="M64" s="52" t="n">
        <x:v>326</x:v>
      </x:c>
      <x:c r="N64" s="52" t="n">
        <x:v>1630</x:v>
      </x:c>
      <x:c r="O64" s="52" t="n">
        <x:v>14</x:v>
      </x:c>
      <x:c r="P64" s="20" t="str">
        <x:v>XML, PHP, HTML</x:v>
      </x:c>
      <x:c r="Q64" s="20" t="str">
        <x:v>Originator/maintainer of mirrored deliverable</x:v>
      </x:c>
      <x:c r="R64" s="20" t="str">
        <x:v>Intermediate-to-senior applied engineering evidence</x:v>
      </x:c>
      <x:c r="S64" s="20" t="str">
        <x:v>Historical public distribution of the Joomla Daily Scripture module, preserving the earlier application lineage before current True Christian custody.</x:v>
      </x:c>
      <x:c r="T64" s="20" t="str">
        <x:v>Shows continuity in scripture publishing and Joomla extension maintenance while remaining one reconciled application lineage.</x:v>
      </x:c>
      <x:c r="U64" s="20" t="str">
        <x:v>Canonical inclusion refreshed 28 July 2026. Contribution metrics are the identity-aware repository snapshot from 18 July 2026 and must not be summed across repositories.</x:v>
      </x:c>
      <x:c r="V64" s="16" t="str">
        <x:v>https://github.com/Llewellynvdm/Joomla-Daily-Scripture</x:v>
      </x:c>
      <x:c r="W64" s="16" t="str">
        <x:v>https://github.com/Llewellynvdm/Joomla-Daily-Scripture/commit/40e5c4f41f1c16541f75a09e3082ee93c5c326ae</x:v>
      </x:c>
      <x:c r="X64" s="20" t="str">
        <x:v>extended</x:v>
      </x:c>
    </x:row>
    <x:row r="65" ht="72" hidden="0" customHeight="1">
      <x:c r="A65" s="25" t="n">
        <x:v>61</x:v>
      </x:c>
      <x:c r="B65" s="26" t="str">
        <x:v>Supporting</x:v>
      </x:c>
      <x:c r="C65" s="25" t="str">
        <x:v>Personal Engineering Portfolio</x:v>
      </x:c>
      <x:c r="D65" s="25" t="str">
        <x:v>Llewellynvdm/Llewellynvdm</x:v>
      </x:c>
      <x:c r="E65" s="20" t="str">
        <x:v>Llewellynvdm</x:v>
      </x:c>
      <x:c r="F65" s="51" t="n">
        <x:v>44138</x:v>
      </x:c>
      <x:c r="G65" s="51" t="n">
        <x:v>46054</x:v>
      </x:c>
      <x:c r="H65" s="20" t="str">
        <x:v>Current / active within the last 12 months</x:v>
      </x:c>
      <x:c r="I65" s="52" t="n">
        <x:v>5</x:v>
      </x:c>
      <x:c r="J65" s="52" t="n">
        <x:v>5</x:v>
      </x:c>
      <x:c r="K65" s="52" t="n">
        <x:v>4</x:v>
      </x:c>
      <x:c r="L65" s="52" t="n">
        <x:v>48</x:v>
      </x:c>
      <x:c r="M65" s="52" t="n">
        <x:v>31</x:v>
      </x:c>
      <x:c r="N65" s="52" t="n">
        <x:v>79</x:v>
      </x:c>
      <x:c r="O65" s="52" t="n">
        <x:v>1</x:v>
      </x:c>
      <x:c r="P65" s="20" t="str"/>
      <x:c r="Q65" s="20" t="str">
        <x:v>Principal or sole recorded author</x:v>
      </x:c>
      <x:c r="R65" s="20" t="str">
        <x:v>Focused supporting implementation evidence</x:v>
      </x:c>
      <x:c r="S65" s="20" t="str">
        <x:v>Personal GitHub profile source and curated public navigation for Llewellyn's engineering identity, current work and professional contact routes.</x:v>
      </x:c>
      <x:c r="T65" s="20" t="str">
        <x:v>Maintains a durable public entry point into the wider engineering estate and its current custodians.</x:v>
      </x:c>
      <x:c r="U65" s="20" t="str">
        <x:v>Canonical inclusion refreshed 28 July 2026. Contribution metrics are the identity-aware repository snapshot from 18 July 2026 and must not be summed across repositories.</x:v>
      </x:c>
      <x:c r="V65" s="16" t="str">
        <x:v>https://github.com/Llewellynvdm/Llewellynvdm</x:v>
      </x:c>
      <x:c r="W65" s="16" t="str">
        <x:v>https://github.com/Llewellynvdm/Llewellynvdm/commit/5b90496b2fd5b76b2bf7017997d30ca038560075</x:v>
      </x:c>
      <x:c r="X65" s="20" t="str">
        <x:v>extended</x:v>
      </x:c>
    </x:row>
    <x:row r="66" ht="72" hidden="0" customHeight="1">
      <x:c r="A66" s="25" t="n">
        <x:v>62</x:v>
      </x:c>
      <x:c r="B66" s="26" t="str">
        <x:v>Supporting</x:v>
      </x:c>
      <x:c r="C66" s="25" t="str">
        <x:v>Personal Operations &amp; Automation</x:v>
      </x:c>
      <x:c r="D66" s="25" t="str">
        <x:v>Llewellynvdm/mastodon-secure-feed</x:v>
      </x:c>
      <x:c r="E66" s="20" t="str">
        <x:v>Llewellynvdm</x:v>
      </x:c>
      <x:c r="F66" s="51" t="n">
        <x:v>45492</x:v>
      </x:c>
      <x:c r="G66" s="51" t="n">
        <x:v>45492</x:v>
      </x:c>
      <x:c r="H66" s="20" t="str">
        <x:v>Recent maintenance history</x:v>
      </x:c>
      <x:c r="I66" s="52" t="n">
        <x:v>1</x:v>
      </x:c>
      <x:c r="J66" s="52" t="n">
        <x:v>1</x:v>
      </x:c>
      <x:c r="K66" s="52" t="n">
        <x:v>1</x:v>
      </x:c>
      <x:c r="L66" s="52" t="n">
        <x:v>666</x:v>
      </x:c>
      <x:c r="M66" s="52" t="n">
        <x:v>0</x:v>
      </x:c>
      <x:c r="N66" s="52" t="n">
        <x:v>666</x:v>
      </x:c>
      <x:c r="O66" s="52" t="n">
        <x:v>5</x:v>
      </x:c>
      <x:c r="P66" s="20" t="str">
        <x:v>Python</x:v>
      </x:c>
      <x:c r="Q66" s="20" t="str">
        <x:v>Originator/maintainer of mirrored deliverable</x:v>
      </x:c>
      <x:c r="R66" s="20" t="str">
        <x:v>Focused supporting implementation evidence</x:v>
      </x:c>
      <x:c r="S66" s="20" t="str">
        <x:v>Python service for publishing or consuming a security-conscious Mastodon feed through a self-hosted workflow.</x:v>
      </x:c>
      <x:c r="T66" s="20" t="str">
        <x:v>Provides supporting evidence of Python service integration and controlled social-publishing automation.</x:v>
      </x:c>
      <x:c r="U66" s="20" t="str">
        <x:v>Canonical inclusion refreshed 28 July 2026. Contribution metrics are the identity-aware repository snapshot from 18 July 2026 and must not be summed across repositories.</x:v>
      </x:c>
      <x:c r="V66" s="16" t="str">
        <x:v>https://github.com/Llewellynvdm/mastodon-secure-feed</x:v>
      </x:c>
      <x:c r="W66" s="16" t="str">
        <x:v>https://github.com/Llewellynvdm/mastodon-secure-feed/commit/d93e99ee47e3ec9daf04a8e18a9edd5725114cb8</x:v>
      </x:c>
      <x:c r="X66" s="20" t="str">
        <x:v>extended</x:v>
      </x:c>
    </x:row>
    <x:row r="67" ht="72" hidden="0" customHeight="1">
      <x:c r="A67" s="25" t="n">
        <x:v>63</x:v>
      </x:c>
      <x:c r="B67" s="26" t="str">
        <x:v>Supporting</x:v>
      </x:c>
      <x:c r="C67" s="25" t="str">
        <x:v>Joomla Applications &amp; Tooling</x:v>
      </x:c>
      <x:c r="D67" s="25" t="str">
        <x:v>Llewellynvdm/mod_version_calendar_svg</x:v>
      </x:c>
      <x:c r="E67" s="20" t="str">
        <x:v>Llewellynvdm</x:v>
      </x:c>
      <x:c r="F67" s="51" t="n">
        <x:v>44825</x:v>
      </x:c>
      <x:c r="G67" s="51" t="n">
        <x:v>45149</x:v>
      </x:c>
      <x:c r="H67" s="20" t="str">
        <x:v>Recent maintenance history</x:v>
      </x:c>
      <x:c r="I67" s="52" t="n">
        <x:v>6</x:v>
      </x:c>
      <x:c r="J67" s="52" t="n">
        <x:v>3</x:v>
      </x:c>
      <x:c r="K67" s="52" t="n">
        <x:v>2</x:v>
      </x:c>
      <x:c r="L67" s="52" t="n">
        <x:v>1927</x:v>
      </x:c>
      <x:c r="M67" s="52" t="n">
        <x:v>369</x:v>
      </x:c>
      <x:c r="N67" s="52" t="n">
        <x:v>2296</x:v>
      </x:c>
      <x:c r="O67" s="52" t="n">
        <x:v>16</x:v>
      </x:c>
      <x:c r="P67" s="20" t="str">
        <x:v>PHP, HTML, XML</x:v>
      </x:c>
      <x:c r="Q67" s="20" t="str">
        <x:v>Principal or sole recorded author</x:v>
      </x:c>
      <x:c r="R67" s="20" t="str">
        <x:v>Focused supporting implementation evidence</x:v>
      </x:c>
      <x:c r="S67" s="20" t="str">
        <x:v>Version Calendar in SVG</x:v>
      </x:c>
      <x:c r="T67" s="20" t="str">
        <x:v>Delivered attributable changes across 6 commits and 16 paths in Llewellynvdm/mod_version_calendar_svg; the visible history demonstrates hands-on implementation and maintenance of version calendar in svg.</x:v>
      </x:c>
      <x:c r="U67" s="20" t="str">
        <x:v>Canonical inclusion refreshed 28 July 2026. Contribution metrics are the identity-aware repository snapshot from 18 July 2026 and must not be summed across repositories.</x:v>
      </x:c>
      <x:c r="V67" s="16" t="str">
        <x:v>https://github.com/Llewellynvdm/mod_version_calendar_svg</x:v>
      </x:c>
      <x:c r="W67" s="16" t="str">
        <x:v>https://github.com/Llewellynvdm/mod_version_calendar_svg/commit/9913e1578185aa2d8de0ddfeaf2790c34b7c692b</x:v>
      </x:c>
      <x:c r="X67" s="20" t="str">
        <x:v>extended</x:v>
      </x:c>
    </x:row>
    <x:row r="68" ht="72" hidden="0" customHeight="1">
      <x:c r="A68" s="25" t="n">
        <x:v>64</x:v>
      </x:c>
      <x:c r="B68" s="26" t="str">
        <x:v>Supporting</x:v>
      </x:c>
      <x:c r="C68" s="25" t="str">
        <x:v>Joomla Applications &amp; Tooling</x:v>
      </x:c>
      <x:c r="D68" s="25" t="str">
        <x:v>Llewellynvdm/PreUpVer</x:v>
      </x:c>
      <x:c r="E68" s="20" t="str">
        <x:v>Llewellynvdm</x:v>
      </x:c>
      <x:c r="F68" s="51" t="n">
        <x:v>45258</x:v>
      </x:c>
      <x:c r="G68" s="51" t="n">
        <x:v>45258</x:v>
      </x:c>
      <x:c r="H68" s="20" t="str">
        <x:v>Recent maintenance history</x:v>
      </x:c>
      <x:c r="I68" s="52" t="n">
        <x:v>1</x:v>
      </x:c>
      <x:c r="J68" s="52" t="n">
        <x:v>1</x:v>
      </x:c>
      <x:c r="K68" s="52" t="n">
        <x:v>1</x:v>
      </x:c>
      <x:c r="L68" s="52" t="n">
        <x:v>3753</x:v>
      </x:c>
      <x:c r="M68" s="52" t="n">
        <x:v>0</x:v>
      </x:c>
      <x:c r="N68" s="52" t="n">
        <x:v>3753</x:v>
      </x:c>
      <x:c r="O68" s="52" t="n">
        <x:v>14</x:v>
      </x:c>
      <x:c r="P68" s="20" t="str">
        <x:v>JavaScript, HTML</x:v>
      </x:c>
      <x:c r="Q68" s="20" t="str">
        <x:v>Principal or sole recorded author</x:v>
      </x:c>
      <x:c r="R68" s="20" t="str">
        <x:v>Focused supporting implementation evidence</x:v>
      </x:c>
      <x:c r="S68" s="20" t="str">
        <x:v>The easy pre tag updater for include statments.</x:v>
      </x:c>
      <x:c r="T68" s="20" t="str">
        <x:v>Delivered attributable changes across 1 commits and 14 paths in Llewellynvdm/PreUpVer; the visible history demonstrates hands-on implementation and maintenance of the easy pre tag updater for include statments.</x:v>
      </x:c>
      <x:c r="U68" s="20" t="str">
        <x:v>Canonical inclusion refreshed 28 July 2026. Contribution metrics are the identity-aware repository snapshot from 18 July 2026 and must not be summed across repositories.</x:v>
      </x:c>
      <x:c r="V68" s="16" t="str">
        <x:v>https://github.com/Llewellynvdm/PreUpVer</x:v>
      </x:c>
      <x:c r="W68" s="16" t="str">
        <x:v>https://github.com/Llewellynvdm/PreUpVer/commit/8a932f6a8876f58dde4f0d87dea19ab7e31a3bcf</x:v>
      </x:c>
      <x:c r="X68" s="20" t="str">
        <x:v>extended</x:v>
      </x:c>
    </x:row>
    <x:row r="69" ht="72" hidden="0" customHeight="1">
      <x:c r="A69" s="25" t="n">
        <x:v>65</x:v>
      </x:c>
      <x:c r="B69" s="26" t="str">
        <x:v>Supporting</x:v>
      </x:c>
      <x:c r="C69" s="25" t="str">
        <x:v>Joomla Applications &amp; Tooling</x:v>
      </x:c>
      <x:c r="D69" s="25" t="str">
        <x:v>Llewellynvdm/PreUpVer-Plugin</x:v>
      </x:c>
      <x:c r="E69" s="20" t="str">
        <x:v>Llewellynvdm</x:v>
      </x:c>
      <x:c r="F69" s="51" t="n">
        <x:v>45258</x:v>
      </x:c>
      <x:c r="G69" s="51" t="n">
        <x:v>45258</x:v>
      </x:c>
      <x:c r="H69" s="20" t="str">
        <x:v>Recent maintenance history</x:v>
      </x:c>
      <x:c r="I69" s="52" t="n">
        <x:v>1</x:v>
      </x:c>
      <x:c r="J69" s="52" t="n">
        <x:v>1</x:v>
      </x:c>
      <x:c r="K69" s="52" t="n">
        <x:v>1</x:v>
      </x:c>
      <x:c r="L69" s="52" t="n">
        <x:v>199</x:v>
      </x:c>
      <x:c r="M69" s="52" t="n">
        <x:v>0</x:v>
      </x:c>
      <x:c r="N69" s="52" t="n">
        <x:v>199</x:v>
      </x:c>
      <x:c r="O69" s="52" t="n">
        <x:v>9</x:v>
      </x:c>
      <x:c r="P69" s="20" t="str">
        <x:v>HTML, PHP, XML</x:v>
      </x:c>
      <x:c r="Q69" s="20" t="str">
        <x:v>Principal or sole recorded author</x:v>
      </x:c>
      <x:c r="R69" s="20" t="str">
        <x:v>Focused supporting implementation evidence</x:v>
      </x:c>
      <x:c r="S69" s="20" t="str">
        <x:v>PreUpVer JS loader for Joomla.</x:v>
      </x:c>
      <x:c r="T69" s="20" t="str">
        <x:v>Delivered attributable changes across 1 commits and 9 paths in Llewellynvdm/PreUpVer-Plugin; the visible history demonstrates hands-on implementation and maintenance of preupver js loader for joomla.</x:v>
      </x:c>
      <x:c r="U69" s="20" t="str">
        <x:v>Canonical inclusion refreshed 28 July 2026. Contribution metrics are the identity-aware repository snapshot from 18 July 2026 and must not be summed across repositories.</x:v>
      </x:c>
      <x:c r="V69" s="16" t="str">
        <x:v>https://github.com/Llewellynvdm/PreUpVer-Plugin</x:v>
      </x:c>
      <x:c r="W69" s="16" t="str">
        <x:v>https://github.com/Llewellynvdm/PreUpVer-Plugin/commit/f12b8bf91ef20592e231b982d0dfdebdfded8ef4</x:v>
      </x:c>
      <x:c r="X69" s="20" t="str">
        <x:v>extended</x:v>
      </x:c>
    </x:row>
    <x:row r="70" ht="72" hidden="0" customHeight="1">
      <x:c r="A70" s="25" t="n">
        <x:v>66</x:v>
      </x:c>
      <x:c r="B70" s="26" t="str">
        <x:v>Supporting</x:v>
      </x:c>
      <x:c r="C70" s="25" t="str">
        <x:v>Historical VDM / Joomla Public Estate</x:v>
      </x:c>
      <x:c r="D70" s="25" t="str">
        <x:v>vdm-io/github-user</x:v>
      </x:c>
      <x:c r="E70" s="20" t="str">
        <x:v>vdm-io</x:v>
      </x:c>
      <x:c r="F70" s="51" t="n">
        <x:v>44316</x:v>
      </x:c>
      <x:c r="G70" s="51" t="n">
        <x:v>46125</x:v>
      </x:c>
      <x:c r="H70" s="20" t="str">
        <x:v>Current/present-day public activity evidenced in 2026</x:v>
      </x:c>
      <x:c r="I70" s="52" t="n">
        <x:v>4</x:v>
      </x:c>
      <x:c r="J70" s="52" t="n">
        <x:v>4</x:v>
      </x:c>
      <x:c r="K70" s="52" t="n">
        <x:v>3</x:v>
      </x:c>
      <x:c r="L70" s="52" t="n">
        <x:v>2981</x:v>
      </x:c>
      <x:c r="M70" s="52" t="n">
        <x:v>821</x:v>
      </x:c>
      <x:c r="N70" s="52" t="n">
        <x:v>3802</x:v>
      </x:c>
      <x:c r="O70" s="52" t="n">
        <x:v>7</x:v>
      </x:c>
      <x:c r="P70" s="20" t="str">
        <x:v>Shell/Bash</x:v>
      </x:c>
      <x:c r="Q70" s="20" t="str">
        <x:v>Repository maintainer and attributable contributor</x:v>
      </x:c>
      <x:c r="R70" s="20" t="str">
        <x:v>Historical ledger-only evidence; retained for canonical traceability and not selected for CV presentation.</x:v>
      </x:c>
      <x:c r="S70" s="20" t="str">
        <x:v>Shell/YAML automation for provisioning a GitHub user environment on Ubuntu.</x:v>
      </x:c>
      <x:c r="T70" s="20" t="str">
        <x:v>Adds a maintained capability to the GetBible, JCB, Joomla/Docker, or VDM open-source ecosystem.</x:v>
      </x:c>
      <x:c r="U70" s="20" t="str">
        <x:v>Historical lineage retained under the canonical reconciliation. Do not feature this organisation in the CV; current public evidence is presented through the priority custodians.</x:v>
      </x:c>
      <x:c r="V70" s="16" t="str">
        <x:v>https://github.com/vdm-io/github-user</x:v>
      </x:c>
      <x:c r="W70" s="16" t="str">
        <x:v>https://github.com/vdm-io/github-user</x:v>
      </x:c>
      <x:c r="X70" s="20" t="str">
        <x:v>primary</x:v>
      </x:c>
    </x:row>
    <x:row r="71" ht="72" hidden="0" customHeight="1">
      <x:c r="A71" s="25" t="n">
        <x:v>67</x:v>
      </x:c>
      <x:c r="B71" s="26" t="str">
        <x:v>Supporting</x:v>
      </x:c>
      <x:c r="C71" s="25" t="str">
        <x:v>Historical VDM / Joomla Public Estate</x:v>
      </x:c>
      <x:c r="D71" s="25" t="str">
        <x:v>vdm-io/Joomla-Docker-Fun</x:v>
      </x:c>
      <x:c r="E71" s="20" t="str">
        <x:v>vdm-io</x:v>
      </x:c>
      <x:c r="F71" s="51" t="n">
        <x:v>44118</x:v>
      </x:c>
      <x:c r="G71" s="51" t="n">
        <x:v>44368</x:v>
      </x:c>
      <x:c r="H71" s="20" t="str">
        <x:v>Archived repository; latest attributable commit 2021-06-21</x:v>
      </x:c>
      <x:c r="I71" s="52" t="n">
        <x:v>18</x:v>
      </x:c>
      <x:c r="J71" s="52" t="n">
        <x:v>5</x:v>
      </x:c>
      <x:c r="K71" s="52" t="n">
        <x:v>2</x:v>
      </x:c>
      <x:c r="L71" s="52" t="n">
        <x:v>3631</x:v>
      </x:c>
      <x:c r="M71" s="52" t="n">
        <x:v>914</x:v>
      </x:c>
      <x:c r="N71" s="52" t="n">
        <x:v>4545</x:v>
      </x:c>
      <x:c r="O71" s="52" t="n">
        <x:v>45</x:v>
      </x:c>
      <x:c r="P71" s="20" t="str">
        <x:v>Shell/Bash</x:v>
      </x:c>
      <x:c r="Q71" s="20" t="str">
        <x:v>Repository maintainer and attributable contributor</x:v>
      </x:c>
      <x:c r="R71" s="20" t="str">
        <x:v>Historical ledger-only evidence; retained for canonical traceability and not selected for CV presentation.</x:v>
      </x:c>
      <x:c r="S71" s="20" t="str">
        <x:v>Docker image builder/deployer for Joomla environments.</x:v>
      </x:c>
      <x:c r="T71" s="20" t="str">
        <x:v>Adds a maintained capability to the GetBible, JCB, Joomla/Docker, or VDM open-source ecosystem.</x:v>
      </x:c>
      <x:c r="U71" s="20" t="str">
        <x:v>Historical lineage retained under the canonical reconciliation. Do not feature this organisation in the CV; current public evidence is presented through the priority custodians.</x:v>
      </x:c>
      <x:c r="V71" s="16" t="str">
        <x:v>https://github.com/vdm-io/Joomla-Docker-Fun</x:v>
      </x:c>
      <x:c r="W71" s="16" t="str">
        <x:v>https://github.com/vdm-io/Joomla-Docker-Fun</x:v>
      </x:c>
      <x:c r="X71" s="20" t="str">
        <x:v>primary</x:v>
      </x:c>
    </x:row>
    <x:row r="72" ht="72" hidden="0" customHeight="1">
      <x:c r="A72" s="27" t="n">
        <x:v>68</x:v>
      </x:c>
      <x:c r="B72" s="28" t="str">
        <x:v>Supporting</x:v>
      </x:c>
      <x:c r="C72" s="27" t="str">
        <x:v>Historical Namibian Joomla Applications</x:v>
      </x:c>
      <x:c r="D72" s="27" t="str">
        <x:v>namibia/eHealth-Portal</x:v>
      </x:c>
      <x:c r="E72" s="20" t="str">
        <x:v>namibia</x:v>
      </x:c>
      <x:c r="F72" s="51" t="n">
        <x:v>44310</x:v>
      </x:c>
      <x:c r="G72" s="51" t="n">
        <x:v>45310</x:v>
      </x:c>
      <x:c r="H72" s="20" t="str">
        <x:v>Recent maintenance history</x:v>
      </x:c>
      <x:c r="I72" s="52" t="n">
        <x:v>6</x:v>
      </x:c>
      <x:c r="J72" s="52" t="n">
        <x:v>2</x:v>
      </x:c>
      <x:c r="K72" s="52" t="n">
        <x:v>2</x:v>
      </x:c>
      <x:c r="L72" s="52" t="n">
        <x:v>459209</x:v>
      </x:c>
      <x:c r="M72" s="52" t="n">
        <x:v>210785</x:v>
      </x:c>
      <x:c r="N72" s="52" t="n">
        <x:v>669994</x:v>
      </x:c>
      <x:c r="O72" s="52" t="n">
        <x:v>2269</x:v>
      </x:c>
      <x:c r="P72" s="20" t="str">
        <x:v>PHP, HTML, XML, CSS/SCSS, JavaScript, SQL</x:v>
      </x:c>
      <x:c r="Q72" s="20" t="str">
        <x:v>Originator/maintainer of mirrored deliverable</x:v>
      </x:c>
      <x:c r="R72" s="20" t="str">
        <x:v>Senior applied engineering evidence</x:v>
      </x:c>
      <x:c r="S72" s="20" t="str">
        <x:v>A Joomla-based eHealth portal delivered as an application artefact.</x:v>
      </x:c>
      <x:c r="T72" s="20" t="str">
        <x:v>Delivered attributable changes across 6 commits and 2269 paths in namibia/eHealth-Portal; the visible history demonstrates hands-on implementation and maintenance of a joomla-based ehealth portal delivered as an application artefact.</x:v>
      </x:c>
      <x:c r="U72" s="20" t="str">
        <x:v>Canonical inclusion refreshed 28 July 2026. Contribution metrics are the identity-aware repository snapshot from 18 July 2026 and must not be summed across repositories.</x:v>
      </x:c>
      <x:c r="V72" s="16" t="str">
        <x:v>https://github.com/namibia/eHealth-Portal</x:v>
      </x:c>
      <x:c r="W72" s="16" t="str">
        <x:v>https://github.com/namibia/eHealth-Portal/commit/83156759d2486f1757b9df0ff0d2c05e2ee2fe24</x:v>
      </x:c>
      <x:c r="X72" s="20" t="str">
        <x:v>extended</x:v>
      </x:c>
    </x:row>
    <x:row r="73" ht="72" hidden="0" customHeight="1">
      <x:c r="A73" s="27" t="n">
        <x:v>69</x:v>
      </x:c>
      <x:c r="B73" s="28" t="str">
        <x:v>Major</x:v>
      </x:c>
      <x:c r="C73" s="27" t="str">
        <x:v>GetBible Scripture Platform</x:v>
      </x:c>
      <x:c r="D73" s="27" t="str">
        <x:v>getbible/joomla-pkg</x:v>
      </x:c>
      <x:c r="E73" s="20" t="str">
        <x:v>getbible</x:v>
      </x:c>
      <x:c r="F73" s="51" t="n">
        <x:v>45133</x:v>
      </x:c>
      <x:c r="G73" s="51" t="n">
        <x:v>45979</x:v>
      </x:c>
      <x:c r="H73" s="20" t="str">
        <x:v>Maintained Joomla 5 package lineage</x:v>
      </x:c>
      <x:c r="I73" s="52" t="n">
        <x:v>71</x:v>
      </x:c>
      <x:c r="J73" s="52"/>
      <x:c r="K73" s="52" t="n">
        <x:v>28</x:v>
      </x:c>
      <x:c r="L73" s="52"/>
      <x:c r="M73" s="52"/>
      <x:c r="N73" s="52"/>
      <x:c r="O73" s="52"/>
      <x:c r="P73" s="20" t="str">
        <x:v>XML, Joomla packaging, PHP, release engineering</x:v>
      </x:c>
      <x:c r="Q73" s="20" t="str">
        <x:v>Author, packager and maintainer</x:v>
      </x:c>
      <x:c r="R73" s="20" t="str">
        <x:v>Substantive packaging and release-engineering evidence within the GetBible application ecosystem.</x:v>
      </x:c>
      <x:c r="S73" s="20" t="str">
        <x:v>Joomla 5 package and release assembler bundling the GetBible component, Daily Light module, Daily Scripture module and loader plugin.</x:v>
      </x:c>
      <x:c r="T73" s="20" t="str">
        <x:v>Demonstrates multi-extension package composition, version compatibility and sustained distribution responsibility across the GetBible Joomla surface.</x:v>
      </x:c>
      <x:c r="U73" s="20" t="str">
        <x:v>Packaged extension artefacts are delivery outputs and must not be interpreted as independently hand-authored source volume.</x:v>
      </x:c>
      <x:c r="V73" s="16" t="str">
        <x:v>https://github.com/getbible/joomla-pkg</x:v>
      </x:c>
      <x:c r="W73" s="16" t="str">
        <x:v>https://github.com/getbible/joomla-pkg</x:v>
      </x:c>
      <x:c r="X73" s="20" t="str">
        <x:v>source review 29 July 2026</x:v>
      </x:c>
    </x:row>
    <x:row r="74" ht="72" hidden="0" customHeight="1">
      <x:c r="A74" s="27" t="n">
        <x:v>70</x:v>
      </x:c>
      <x:c r="B74" s="28" t="str">
        <x:v>Historical / Foundation</x:v>
      </x:c>
      <x:c r="C74" s="27" t="str">
        <x:v>GetBible Scripture Platform</x:v>
      </x:c>
      <x:c r="D74" s="27" t="str">
        <x:v>getbible/getverse</x:v>
      </x:c>
      <x:c r="E74" s="20" t="str">
        <x:v>getbible</x:v>
      </x:c>
      <x:c r="F74" s="51" t="n">
        <x:v>44318</x:v>
      </x:c>
      <x:c r="G74" s="51" t="n">
        <x:v>45078</x:v>
      </x:c>
      <x:c r="H74" s="20" t="str">
        <x:v>Historical contribution; latest attributable commit 2023-06-01</x:v>
      </x:c>
      <x:c r="I74" s="52" t="n">
        <x:v>7</x:v>
      </x:c>
      <x:c r="J74" s="52" t="n">
        <x:v>4</x:v>
      </x:c>
      <x:c r="K74" s="52" t="n">
        <x:v>3</x:v>
      </x:c>
      <x:c r="L74" s="52" t="n">
        <x:v>1006</x:v>
      </x:c>
      <x:c r="M74" s="52" t="n">
        <x:v>65</x:v>
      </x:c>
      <x:c r="N74" s="52" t="n">
        <x:v>1071</x:v>
      </x:c>
      <x:c r="O74" s="52" t="n">
        <x:v>5</x:v>
      </x:c>
      <x:c r="P74" s="20" t="str">
        <x:v>Shell/Bash</x:v>
      </x:c>
      <x:c r="Q74" s="20" t="str">
        <x:v>Project owner and lead engineering contributor</x:v>
      </x:c>
      <x:c r="R74" s="20" t="str">
        <x:v>Intermediate to senior</x:v>
      </x:c>
      <x:c r="S74" s="20" t="str">
        <x:v>Small shell client for retrieving verses from the GetBible API.</x:v>
      </x:c>
      <x:c r="T74" s="20" t="str">
        <x:v>Adds a maintained capability to the GetBible, JCB, Joomla/Docker, or VDM open-source ecosystem.</x:v>
      </x:c>
      <x:c r="U74" s="20" t="str">
        <x:v>Canonical inclusion refreshed 28 July 2026. Contribution metrics are the identity-aware repository snapshot from 18 July 2026 and must not be summed across repositories.</x:v>
      </x:c>
      <x:c r="V74" s="16" t="str">
        <x:v>https://github.com/getbible/getverse</x:v>
      </x:c>
      <x:c r="W74" s="16" t="str">
        <x:v>https://github.com/getbible/getverse</x:v>
      </x:c>
      <x:c r="X74" s="20" t="str">
        <x:v>primary</x:v>
      </x:c>
    </x:row>
    <x:row r="75" ht="72" hidden="0" customHeight="1">
      <x:c r="A75" s="27" t="n">
        <x:v>71</x:v>
      </x:c>
      <x:c r="B75" s="28" t="str">
        <x:v>Historical / Foundation</x:v>
      </x:c>
      <x:c r="C75" s="27" t="str">
        <x:v>GetBible Scripture Platform</x:v>
      </x:c>
      <x:c r="D75" s="27" t="str">
        <x:v>getbible/Joomla-3-Activity-Cron-Plugin</x:v>
      </x:c>
      <x:c r="E75" s="20" t="str">
        <x:v>getbible</x:v>
      </x:c>
      <x:c r="F75" s="51" t="n">
        <x:v>42009</x:v>
      </x:c>
      <x:c r="G75" s="51" t="n">
        <x:v>42421</x:v>
      </x:c>
      <x:c r="H75" s="20" t="str">
        <x:v>Archived repository; latest attributable commit 2016-02-21</x:v>
      </x:c>
      <x:c r="I75" s="52" t="n">
        <x:v>4</x:v>
      </x:c>
      <x:c r="J75" s="52" t="n">
        <x:v>4</x:v>
      </x:c>
      <x:c r="K75" s="52" t="n">
        <x:v>3</x:v>
      </x:c>
      <x:c r="L75" s="52" t="n">
        <x:v>1076</x:v>
      </x:c>
      <x:c r="M75" s="52" t="n">
        <x:v>19</x:v>
      </x:c>
      <x:c r="N75" s="52" t="n">
        <x:v>1095</x:v>
      </x:c>
      <x:c r="O75" s="52" t="n">
        <x:v>23</x:v>
      </x:c>
      <x:c r="P75" s="20" t="str">
        <x:v>PHP, HTML, SQL</x:v>
      </x:c>
      <x:c r="Q75" s="20" t="str">
        <x:v>Project owner and lead engineering contributor</x:v>
      </x:c>
      <x:c r="R75" s="20" t="str">
        <x:v>Intermediate to senior</x:v>
      </x:c>
      <x:c r="S75" s="20" t="str">
        <x:v> Home of the getBible Activity Cron Job for Joomla 3.x</x:v>
      </x:c>
      <x:c r="T75" s="20" t="str">
        <x:v>Adds a maintained capability to the GetBible, JCB, Joomla/Docker, or VDM open-source ecosystem.</x:v>
      </x:c>
      <x:c r="U75" s="20" t="str">
        <x:v>Canonical inclusion refreshed 28 July 2026. Contribution metrics are the identity-aware repository snapshot from 18 July 2026 and must not be summed across repositories.</x:v>
      </x:c>
      <x:c r="V75" s="16" t="str">
        <x:v>https://github.com/getbible/Joomla-3-Activity-Cron-Plugin</x:v>
      </x:c>
      <x:c r="W75" s="16" t="str">
        <x:v>https://github.com/getbible/Joomla-3-Activity-Cron-Plugin</x:v>
      </x:c>
      <x:c r="X75" s="20" t="str">
        <x:v>primary</x:v>
      </x:c>
    </x:row>
    <x:row r="76" ht="72" hidden="0" customHeight="1">
      <x:c r="A76" s="27" t="n">
        <x:v>72</x:v>
      </x:c>
      <x:c r="B76" s="28" t="str">
        <x:v>Historical / Foundation</x:v>
      </x:c>
      <x:c r="C76" s="27" t="str">
        <x:v>GetBible Scripture Platform</x:v>
      </x:c>
      <x:c r="D76" s="27" t="str">
        <x:v>getbible/Joomla-3-Component</x:v>
      </x:c>
      <x:c r="E76" s="20" t="str">
        <x:v>getbible</x:v>
      </x:c>
      <x:c r="F76" s="51" t="n">
        <x:v>41712</x:v>
      </x:c>
      <x:c r="G76" s="51" t="n">
        <x:v>42751</x:v>
      </x:c>
      <x:c r="H76" s="20" t="str">
        <x:v>Archived repository; latest attributable commit 2017-01-16</x:v>
      </x:c>
      <x:c r="I76" s="52" t="n">
        <x:v>93</x:v>
      </x:c>
      <x:c r="J76" s="52" t="n">
        <x:v>49</x:v>
      </x:c>
      <x:c r="K76" s="52" t="n">
        <x:v>17</x:v>
      </x:c>
      <x:c r="L76" s="52" t="n">
        <x:v>100329</x:v>
      </x:c>
      <x:c r="M76" s="52" t="n">
        <x:v>37105</x:v>
      </x:c>
      <x:c r="N76" s="52" t="n">
        <x:v>137434</x:v>
      </x:c>
      <x:c r="O76" s="52" t="n">
        <x:v>571</x:v>
      </x:c>
      <x:c r="P76" s="20" t="str">
        <x:v>PHP, CSS, JavaScript, HTML, SQL</x:v>
      </x:c>
      <x:c r="Q76" s="20" t="str">
        <x:v>Original author, principal architect and maintainer</x:v>
      </x:c>
      <x:c r="R76" s="20" t="str">
        <x:v>Intermediate to senior</x:v>
      </x:c>
      <x:c r="S76" s="20" t="str">
        <x:v>Historical Joomla 3 GetBible component.</x:v>
      </x:c>
      <x:c r="T76" s="20" t="str">
        <x:v>Adds a maintained capability to the GetBible, JCB, Joomla/Docker, or VDM open-source ecosystem.</x:v>
      </x:c>
      <x:c r="U76" s="20" t="str">
        <x:v>Canonical inclusion refreshed 28 July 2026. Contribution metrics are the identity-aware repository snapshot from 18 July 2026 and must not be summed across repositories.</x:v>
      </x:c>
      <x:c r="V76" s="16" t="str">
        <x:v>https://github.com/getbible/Joomla-3-Component</x:v>
      </x:c>
      <x:c r="W76" s="16" t="str">
        <x:v>https://github.com/getbible/Joomla-3-Component</x:v>
      </x:c>
      <x:c r="X76" s="20" t="str">
        <x:v>primary</x:v>
      </x:c>
    </x:row>
    <x:row r="77" ht="72" hidden="0" customHeight="1">
      <x:c r="A77" s="27" t="n">
        <x:v>73</x:v>
      </x:c>
      <x:c r="B77" s="28" t="str">
        <x:v>Historical / Foundation</x:v>
      </x:c>
      <x:c r="C77" s="27" t="str">
        <x:v>GetBible Scripture Platform</x:v>
      </x:c>
      <x:c r="D77" s="27" t="str">
        <x:v>getbible/Joomla-3-Load-Scripture-Plugin</x:v>
      </x:c>
      <x:c r="E77" s="20" t="str">
        <x:v>getbible</x:v>
      </x:c>
      <x:c r="F77" s="51" t="n">
        <x:v>41952</x:v>
      </x:c>
      <x:c r="G77" s="51" t="n">
        <x:v>42471</x:v>
      </x:c>
      <x:c r="H77" s="20" t="str">
        <x:v>Archived repository; latest attributable commit 2016-04-11</x:v>
      </x:c>
      <x:c r="I77" s="52" t="n">
        <x:v>15</x:v>
      </x:c>
      <x:c r="J77" s="52" t="n">
        <x:v>11</x:v>
      </x:c>
      <x:c r="K77" s="52" t="n">
        <x:v>6</x:v>
      </x:c>
      <x:c r="L77" s="52" t="n">
        <x:v>2051</x:v>
      </x:c>
      <x:c r="M77" s="52" t="n">
        <x:v>662</x:v>
      </x:c>
      <x:c r="N77" s="52" t="n">
        <x:v>2713</x:v>
      </x:c>
      <x:c r="O77" s="52" t="n">
        <x:v>7</x:v>
      </x:c>
      <x:c r="P77" s="20" t="str">
        <x:v>PHP, HTML</x:v>
      </x:c>
      <x:c r="Q77" s="20" t="str">
        <x:v>Project owner and lead engineering contributor</x:v>
      </x:c>
      <x:c r="R77" s="20" t="str">
        <x:v>Intermediate to senior</x:v>
      </x:c>
      <x:c r="S77" s="20" t="str">
        <x:v>Home of the getBible Load Scripture in Content for Joomla 3.x</x:v>
      </x:c>
      <x:c r="T77" s="20" t="str">
        <x:v>Adds a maintained capability to the GetBible, JCB, Joomla/Docker, or VDM open-source ecosystem.</x:v>
      </x:c>
      <x:c r="U77" s="20" t="str">
        <x:v>Canonical inclusion refreshed 28 July 2026. Contribution metrics are the identity-aware repository snapshot from 18 July 2026 and must not be summed across repositories.</x:v>
      </x:c>
      <x:c r="V77" s="16" t="str">
        <x:v>https://github.com/getbible/Joomla-3-Load-Scripture-Plugin</x:v>
      </x:c>
      <x:c r="W77" s="16" t="str">
        <x:v>https://github.com/getbible/Joomla-3-Load-Scripture-Plugin</x:v>
      </x:c>
      <x:c r="X77" s="20" t="str">
        <x:v>primary</x:v>
      </x:c>
    </x:row>
    <x:row r="78" ht="72" hidden="0" customHeight="1">
      <x:c r="A78" s="27" t="n">
        <x:v>74</x:v>
      </x:c>
      <x:c r="B78" s="28" t="str">
        <x:v>Historical / Foundation</x:v>
      </x:c>
      <x:c r="C78" s="27" t="str">
        <x:v>GetBible Scripture Platform</x:v>
      </x:c>
      <x:c r="D78" s="27" t="str">
        <x:v>getbible/Joomla-3-Search-Module</x:v>
      </x:c>
      <x:c r="E78" s="20" t="str">
        <x:v>getbible</x:v>
      </x:c>
      <x:c r="F78" s="51" t="n">
        <x:v>41951</x:v>
      </x:c>
      <x:c r="G78" s="51" t="n">
        <x:v>42421</x:v>
      </x:c>
      <x:c r="H78" s="20" t="str">
        <x:v>Archived repository; latest attributable commit 2016-02-21</x:v>
      </x:c>
      <x:c r="I78" s="52" t="n">
        <x:v>7</x:v>
      </x:c>
      <x:c r="J78" s="52" t="n">
        <x:v>7</x:v>
      </x:c>
      <x:c r="K78" s="52" t="n">
        <x:v>4</x:v>
      </x:c>
      <x:c r="L78" s="52" t="n">
        <x:v>1838</x:v>
      </x:c>
      <x:c r="M78" s="52" t="n">
        <x:v>459</x:v>
      </x:c>
      <x:c r="N78" s="52" t="n">
        <x:v>2297</x:v>
      </x:c>
      <x:c r="O78" s="52" t="n">
        <x:v>16</x:v>
      </x:c>
      <x:c r="P78" s="20" t="str">
        <x:v>PHP, HTML, JavaScript, CSS</x:v>
      </x:c>
      <x:c r="Q78" s="20" t="str">
        <x:v>Project owner and lead engineering contributor</x:v>
      </x:c>
      <x:c r="R78" s="20" t="str">
        <x:v>Intermediate to senior</x:v>
      </x:c>
      <x:c r="S78" s="20" t="str">
        <x:v>Home of the getBible search module for Joomla 3.x</x:v>
      </x:c>
      <x:c r="T78" s="20" t="str">
        <x:v>Adds a maintained capability to the GetBible, JCB, Joomla/Docker, or VDM open-source ecosystem.</x:v>
      </x:c>
      <x:c r="U78" s="20" t="str">
        <x:v>Canonical inclusion refreshed 28 July 2026. Contribution metrics are the identity-aware repository snapshot from 18 July 2026 and must not be summed across repositories.</x:v>
      </x:c>
      <x:c r="V78" s="16" t="str">
        <x:v>https://github.com/getbible/Joomla-3-Search-Module</x:v>
      </x:c>
      <x:c r="W78" s="16" t="str">
        <x:v>https://github.com/getbible/Joomla-3-Search-Module</x:v>
      </x:c>
      <x:c r="X78" s="20" t="str">
        <x:v>primary</x:v>
      </x:c>
    </x:row>
    <x:row r="79" ht="72" hidden="0" customHeight="1">
      <x:c r="A79" s="27" t="n">
        <x:v>75</x:v>
      </x:c>
      <x:c r="B79" s="28" t="str">
        <x:v>Historical / Foundation</x:v>
      </x:c>
      <x:c r="C79" s="27" t="str">
        <x:v>GetBible Scripture Platform</x:v>
      </x:c>
      <x:c r="D79" s="27" t="str">
        <x:v>getbible/loader</x:v>
      </x:c>
      <x:c r="E79" s="20" t="str">
        <x:v>getbible</x:v>
      </x:c>
      <x:c r="F79" s="51" t="n">
        <x:v>45238</x:v>
      </x:c>
      <x:c r="G79" s="51" t="n">
        <x:v>45458</x:v>
      </x:c>
      <x:c r="H79" s="20" t="str">
        <x:v>Historical contribution; latest attributable commit 2024-06-15</x:v>
      </x:c>
      <x:c r="I79" s="52" t="n">
        <x:v>13</x:v>
      </x:c>
      <x:c r="J79" s="52" t="n">
        <x:v>8</x:v>
      </x:c>
      <x:c r="K79" s="52" t="n">
        <x:v>4</x:v>
      </x:c>
      <x:c r="L79" s="52" t="n">
        <x:v>9010</x:v>
      </x:c>
      <x:c r="M79" s="52" t="n">
        <x:v>2582</x:v>
      </x:c>
      <x:c r="N79" s="52" t="n">
        <x:v>11592</x:v>
      </x:c>
      <x:c r="O79" s="52" t="n">
        <x:v>40</x:v>
      </x:c>
      <x:c r="P79" s="20" t="str">
        <x:v>JavaScript, HTML</x:v>
      </x:c>
      <x:c r="Q79" s="20" t="str">
        <x:v>Project owner and lead engineering contributor</x:v>
      </x:c>
      <x:c r="R79" s="20" t="str">
        <x:v>Intermediate to senior</x:v>
      </x:c>
      <x:c r="S79" s="20" t="str">
        <x:v>Browser-side JavaScript loader that inserts scripture from GetBible into ordinary HTML elements.</x:v>
      </x:c>
      <x:c r="T79" s="20" t="str">
        <x:v>Adds a maintained capability to the GetBible, JCB, Joomla/Docker, or VDM open-source ecosystem.</x:v>
      </x:c>
      <x:c r="U79" s="20" t="str">
        <x:v>Canonical inclusion refreshed 28 July 2026. Contribution metrics are the identity-aware repository snapshot from 18 July 2026 and must not be summed across repositories.</x:v>
      </x:c>
      <x:c r="V79" s="16" t="str">
        <x:v>https://github.com/getbible/loader</x:v>
      </x:c>
      <x:c r="W79" s="16" t="str">
        <x:v>https://github.com/getbible/loader</x:v>
      </x:c>
      <x:c r="X79" s="20" t="str">
        <x:v>primary</x:v>
      </x:c>
    </x:row>
    <x:row r="80" ht="72" hidden="0" customHeight="1">
      <x:c r="A80" s="27" t="n">
        <x:v>76</x:v>
      </x:c>
      <x:c r="B80" s="28" t="str">
        <x:v>Historical / Foundation</x:v>
      </x:c>
      <x:c r="C80" s="27" t="str">
        <x:v>GetBible Scripture Platform</x:v>
      </x:c>
      <x:c r="D80" s="27" t="str">
        <x:v>getbible/txtFactory</x:v>
      </x:c>
      <x:c r="E80" s="20" t="str">
        <x:v>getbible</x:v>
      </x:c>
      <x:c r="F80" s="51" t="n">
        <x:v>42569</x:v>
      </x:c>
      <x:c r="G80" s="51" t="n">
        <x:v>42575</x:v>
      </x:c>
      <x:c r="H80" s="20" t="str">
        <x:v>Archived repository; latest attributable commit 2016-07-24</x:v>
      </x:c>
      <x:c r="I80" s="52" t="n">
        <x:v>12</x:v>
      </x:c>
      <x:c r="J80" s="52" t="n">
        <x:v>7</x:v>
      </x:c>
      <x:c r="K80" s="52" t="n">
        <x:v>1</x:v>
      </x:c>
      <x:c r="L80" s="52" t="n">
        <x:v>818</x:v>
      </x:c>
      <x:c r="M80" s="52" t="n">
        <x:v>26</x:v>
      </x:c>
      <x:c r="N80" s="52" t="n">
        <x:v>844</x:v>
      </x:c>
      <x:c r="O80" s="52" t="n">
        <x:v>6</x:v>
      </x:c>
      <x:c r="P80" s="20" t="str">
        <x:v>Shell/Bash</x:v>
      </x:c>
      <x:c r="Q80" s="20" t="str">
        <x:v>Project owner and lead engineering contributor</x:v>
      </x:c>
      <x:c r="R80" s="20" t="str">
        <x:v>Intermediate to senior</x:v>
      </x:c>
      <x:c r="S80" s="20" t="str">
        <x:v>Historical Bash data-acquisition utility for collecting Bible translations from the Unbound Biola source for downstream GetBible processing.</x:v>
      </x:c>
      <x:c r="T80" s="20" t="str">
        <x:v>Documents an early stage of the scripture data-supply chain and the progression toward later deterministic builders.</x:v>
      </x:c>
      <x:c r="U80" s="20" t="str">
        <x:v>Canonical inclusion refreshed 28 July 2026. Contribution metrics are the identity-aware repository snapshot from 18 July 2026 and must not be summed across repositories.</x:v>
      </x:c>
      <x:c r="V80" s="16" t="str">
        <x:v>https://github.com/getbible/txtFactory</x:v>
      </x:c>
      <x:c r="W80" s="16" t="str">
        <x:v>https://github.com/getbible/txtFactory</x:v>
      </x:c>
      <x:c r="X80" s="20" t="str">
        <x:v>primary</x:v>
      </x:c>
    </x:row>
    <x:row r="81" ht="72" hidden="0" customHeight="1">
      <x:c r="A81" s="27" t="n">
        <x:v>77</x:v>
      </x:c>
      <x:c r="B81" s="28" t="str">
        <x:v>Historical / Foundation</x:v>
      </x:c>
      <x:c r="C81" s="27" t="str">
        <x:v>GetBible Scripture Platform</x:v>
      </x:c>
      <x:c r="D81" s="27" t="str">
        <x:v>getbible/v1</x:v>
      </x:c>
      <x:c r="E81" s="20" t="str">
        <x:v>getbible</x:v>
      </x:c>
      <x:c r="F81" s="51" t="n">
        <x:v>43828</x:v>
      </x:c>
      <x:c r="G81" s="51" t="n">
        <x:v>43828</x:v>
      </x:c>
      <x:c r="H81" s="20" t="str">
        <x:v>Historical contribution; latest attributable commit 2019-12-29</x:v>
      </x:c>
      <x:c r="I81" s="52" t="n">
        <x:v>1</x:v>
      </x:c>
      <x:c r="J81" s="52" t="n">
        <x:v>1</x:v>
      </x:c>
      <x:c r="K81" s="52" t="n">
        <x:v>1</x:v>
      </x:c>
      <x:c r="L81" s="52" t="n">
        <x:v>1698197</x:v>
      </x:c>
      <x:c r="M81" s="52" t="n">
        <x:v>0</x:v>
      </x:c>
      <x:c r="N81" s="52" t="n">
        <x:v>1698197</x:v>
      </x:c>
      <x:c r="O81" s="52" t="n">
        <x:v>119489</x:v>
      </x:c>
      <x:c r="P81" s="20" t="str"/>
      <x:c r="Q81" s="20" t="str">
        <x:v>Project founder, data/API architect and publisher</x:v>
      </x:c>
      <x:c r="R81" s="20" t="str">
        <x:v>Senior</x:v>
      </x:c>
      <x:c r="S81" s="20" t="str">
        <x:v>First-generation public static JSON Bible API dataset.</x:v>
      </x:c>
      <x:c r="T81" s="20" t="str">
        <x:v>Adds a maintained capability to the GetBible, JCB, Joomla/Docker, or VDM open-source ecosystem.</x:v>
      </x:c>
      <x:c r="U81" s="20" t="str">
        <x:v>Canonical inclusion refreshed 28 July 2026. Contribution metrics are the identity-aware repository snapshot from 18 July 2026 and must not be summed across repositories.</x:v>
      </x:c>
      <x:c r="V81" s="16" t="str">
        <x:v>https://github.com/getbible/v1</x:v>
      </x:c>
      <x:c r="W81" s="16" t="str">
        <x:v>https://github.com/getbible/v1</x:v>
      </x:c>
      <x:c r="X81" s="20" t="str">
        <x:v>primary</x:v>
      </x:c>
    </x:row>
    <x:row r="82" ht="72" hidden="0" customHeight="1">
      <x:c r="A82" s="27" t="n">
        <x:v>78</x:v>
      </x:c>
      <x:c r="B82" s="28" t="str">
        <x:v>Major</x:v>
      </x:c>
      <x:c r="C82" s="27" t="str">
        <x:v>Joomla Component Builder &amp; JoomEngine</x:v>
      </x:c>
      <x:c r="D82" s="27" t="str">
        <x:v>joomengine/pkg-component-builder</x:v>
      </x:c>
      <x:c r="E82" s="20" t="str">
        <x:v>joomengine</x:v>
      </x:c>
      <x:c r="F82" s="51"/>
      <x:c r="G82" s="51" t="n">
        <x:v>46163</x:v>
      </x:c>
      <x:c r="H82" s="20" t="str">
        <x:v>Current Joomla 6 release package</x:v>
      </x:c>
      <x:c r="I82" s="52" t="n">
        <x:v>98</x:v>
      </x:c>
      <x:c r="J82" s="52"/>
      <x:c r="K82" s="52"/>
      <x:c r="L82" s="52"/>
      <x:c r="M82" s="52"/>
      <x:c r="N82" s="52"/>
      <x:c r="O82" s="52"/>
      <x:c r="P82" s="20" t="str">
        <x:v>PHP, XML, Joomla packaging, release engineering</x:v>
      </x:c>
      <x:c r="Q82" s="20" t="str">
        <x:v>Author, packager and release maintainer</x:v>
      </x:c>
      <x:c r="R82" s="20" t="str">
        <x:v>Direct evidence of product packaging, compatibility and controlled distribution for the JCB platform.</x:v>
      </x:c>
      <x:c r="S82" s="20" t="str">
        <x:v>Installable Joomla 6 Joomla Component Builder release bundle that assembles the JCB component and its supported plugin set.</x:v>
      </x:c>
      <x:c r="T82" s="20" t="str">
        <x:v>Shows release composition across eighteen bundled extensions and maintained Joomla 6.0–6.3 compatibility without double-counting the JCB application itself.</x:v>
      </x:c>
      <x:c r="U82" s="20" t="str">
        <x:v>Generated release repository; treat it as packaging and distribution evidence, not as a second independent JCB application or as manually authored generated output.</x:v>
      </x:c>
      <x:c r="V82" s="16" t="str">
        <x:v>https://github.com/joomengine/pkg-component-builder</x:v>
      </x:c>
      <x:c r="W82" s="16" t="str">
        <x:v>https://github.com/joomengine/pkg-component-builder</x:v>
      </x:c>
      <x:c r="X82" s="20" t="str">
        <x:v>source review 29 July 2026</x:v>
      </x:c>
    </x:row>
    <x:row r="83" ht="72" hidden="0" customHeight="1">
      <x:c r="A83" s="27" t="n">
        <x:v>79</x:v>
      </x:c>
      <x:c r="B83" s="28" t="str">
        <x:v>Historical / Foundation</x:v>
      </x:c>
      <x:c r="C83" s="27" t="str">
        <x:v>OctoLeo Automation &amp; Deployment</x:v>
      </x:c>
      <x:c r="D83" s="27" t="str">
        <x:v>octoleo/git-user</x:v>
      </x:c>
      <x:c r="E83" s="20" t="str">
        <x:v>octoleo</x:v>
      </x:c>
      <x:c r="F83" s="51" t="n">
        <x:v>44316</x:v>
      </x:c>
      <x:c r="G83" s="51" t="n">
        <x:v>44316</x:v>
      </x:c>
      <x:c r="H83" s="20" t="str">
        <x:v>Historical contribution</x:v>
      </x:c>
      <x:c r="I83" s="52" t="n">
        <x:v>1</x:v>
      </x:c>
      <x:c r="J83" s="52" t="n">
        <x:v>1</x:v>
      </x:c>
      <x:c r="K83" s="52" t="n">
        <x:v>1</x:v>
      </x:c>
      <x:c r="L83" s="52" t="n">
        <x:v>2160</x:v>
      </x:c>
      <x:c r="M83" s="52" t="n">
        <x:v>0</x:v>
      </x:c>
      <x:c r="N83" s="52" t="n">
        <x:v>2160</x:v>
      </x:c>
      <x:c r="O83" s="52" t="n">
        <x:v>7</x:v>
      </x:c>
      <x:c r="P83" s="20" t="str">
        <x:v>Shell/Bash, GitHub Actions, GPG, SSH, Git</x:v>
      </x:c>
      <x:c r="Q83" s="20" t="str">
        <x:v>Principal or sole recorded author</x:v>
      </x:c>
      <x:c r="R83" s="20" t="str">
        <x:v>Focused supporting implementation evidence</x:v>
      </x:c>
      <x:c r="S83" s="20" t="str">
        <x:v>Security-conscious Bash and GitHub Action bootstrap for GPG-signed Git operations, SSH identity validation and idempotent CI configuration on Ubuntu.</x:v>
      </x:c>
      <x:c r="T83" s="20" t="str">
        <x:v>Turns CI identity, signing and SSH trust into tested, auditable infrastructure automation.</x:v>
      </x:c>
      <x:c r="U83" s="20" t="str">
        <x:v>Canonical inclusion refreshed 28 July 2026. Contribution metrics are the identity-aware repository snapshot from 18 July 2026 and must not be summed across repositories.</x:v>
      </x:c>
      <x:c r="V83" s="16" t="str">
        <x:v>https://github.com/octoleo/git-user</x:v>
      </x:c>
      <x:c r="W83" s="16" t="str">
        <x:v>https://github.com/octoleo/git-user/commit/467d99df51e136ec37d9fcb8eb1b6ba882eca6e7</x:v>
      </x:c>
      <x:c r="X83" s="20" t="str">
        <x:v>extended</x:v>
      </x:c>
    </x:row>
    <x:row r="84" ht="72" hidden="0" customHeight="1">
      <x:c r="A84" s="27" t="n">
        <x:v>80</x:v>
      </x:c>
      <x:c r="B84" s="28" t="str">
        <x:v>Major</x:v>
      </x:c>
      <x:c r="C84" s="27" t="str">
        <x:v>OctoLeo Automation &amp; Deployment</x:v>
      </x:c>
      <x:c r="D84" s="27" t="str">
        <x:v>octoleo/octomailtest</x:v>
      </x:c>
      <x:c r="E84" s="20" t="str">
        <x:v>octoleo</x:v>
      </x:c>
      <x:c r="F84" s="51" t="n">
        <x:v>44704</x:v>
      </x:c>
      <x:c r="G84" s="51" t="n">
        <x:v>44705</x:v>
      </x:c>
      <x:c r="H84" s="20" t="str">
        <x:v>Historical contribution</x:v>
      </x:c>
      <x:c r="I84" s="52" t="n">
        <x:v>5</x:v>
      </x:c>
      <x:c r="J84" s="52" t="n">
        <x:v>2</x:v>
      </x:c>
      <x:c r="K84" s="52" t="n">
        <x:v>1</x:v>
      </x:c>
      <x:c r="L84" s="52" t="n">
        <x:v>2218</x:v>
      </x:c>
      <x:c r="M84" s="52" t="n">
        <x:v>370</x:v>
      </x:c>
      <x:c r="N84" s="52" t="n">
        <x:v>2588</x:v>
      </x:c>
      <x:c r="O84" s="52" t="n">
        <x:v>12</x:v>
      </x:c>
      <x:c r="P84" s="20" t="str">
        <x:v>Shell/Bash, Docker, DNS, SMTP, IMAP, TLS, JSON, CI/CD</x:v>
      </x:c>
      <x:c r="Q84" s="20" t="str">
        <x:v>Creator, lead Bash engineer and maintainer</x:v>
      </x:c>
      <x:c r="R84" s="20" t="str">
        <x:v>Focused supporting implementation evidence</x:v>
      </x:c>
      <x:c r="S84" s="20" t="str">
        <x:v>Deep mail-system diagnostic toolkit covering DNS, connectivity, SMTP, IMAP, TLS, authentication and deliverability, with structured output suitable for operators and automation.</x:v>
      </x:c>
      <x:c r="T84" s="20" t="str">
        <x:v>Demonstrates advanced systems diagnosis, secure protocol handling, failure classification and operator-focused network tooling.</x:v>
      </x:c>
      <x:c r="U84" s="20" t="str">
        <x:v>Canonical inclusion refreshed 28 July 2026. Contribution metrics are the identity-aware repository snapshot from 18 July 2026 and must not be summed across repositories.</x:v>
      </x:c>
      <x:c r="V84" s="16" t="str">
        <x:v>https://github.com/octoleo/octomailtest</x:v>
      </x:c>
      <x:c r="W84" s="16" t="str">
        <x:v>https://github.com/octoleo/octomailtest/commit/b3a43c970b7a09fc91f83654fcf5597471825dda</x:v>
      </x:c>
      <x:c r="X84" s="20" t="str">
        <x:v>extended</x:v>
      </x:c>
    </x:row>
    <x:row r="85" ht="72" hidden="0" customHeight="1">
      <x:c r="A85" s="27" t="n">
        <x:v>81</x:v>
      </x:c>
      <x:c r="B85" s="28" t="str">
        <x:v>Supporting</x:v>
      </x:c>
      <x:c r="C85" s="27" t="str">
        <x:v>OctoLeo Automation &amp; Deployment</x:v>
      </x:c>
      <x:c r="D85" s="27" t="str">
        <x:v>octoleo/octosync</x:v>
      </x:c>
      <x:c r="E85" s="20" t="str">
        <x:v>octoleo</x:v>
      </x:c>
      <x:c r="F85" s="51" t="n">
        <x:v>44390</x:v>
      </x:c>
      <x:c r="G85" s="51" t="n">
        <x:v>44439</x:v>
      </x:c>
      <x:c r="H85" s="20" t="str">
        <x:v>Historical contribution</x:v>
      </x:c>
      <x:c r="I85" s="52" t="n">
        <x:v>11</x:v>
      </x:c>
      <x:c r="J85" s="52" t="n">
        <x:v>4</x:v>
      </x:c>
      <x:c r="K85" s="52" t="n">
        <x:v>2</x:v>
      </x:c>
      <x:c r="L85" s="52" t="n">
        <x:v>2073</x:v>
      </x:c>
      <x:c r="M85" s="52" t="n">
        <x:v>334</x:v>
      </x:c>
      <x:c r="N85" s="52" t="n">
        <x:v>2407</x:v>
      </x:c>
      <x:c r="O85" s="52" t="n">
        <x:v>12</x:v>
      </x:c>
      <x:c r="P85" s="20" t="str">
        <x:v>Shell/Bash, Git, GitHub Actions, CI/CD</x:v>
      </x:c>
      <x:c r="Q85" s="20" t="str">
        <x:v>Principal or sole recorded author</x:v>
      </x:c>
      <x:c r="R85" s="20" t="str">
        <x:v>Intermediate-to-senior applied engineering evidence</x:v>
      </x:c>
      <x:c r="S85" s="20" t="str">
        <x:v>Repository synchronisation bot that turns repeatable cross-repository update operations into a version-controlled Bash workflow.</x:v>
      </x:c>
      <x:c r="T85" s="20" t="str">
        <x:v>Shows automation of repository coordination and maintenance work that would otherwise be manual and error-prone.</x:v>
      </x:c>
      <x:c r="U85" s="20" t="str">
        <x:v>Canonical inclusion refreshed 28 July 2026. Contribution metrics are the identity-aware repository snapshot from 18 July 2026 and must not be summed across repositories.</x:v>
      </x:c>
      <x:c r="V85" s="16" t="str">
        <x:v>https://github.com/octoleo/octosync</x:v>
      </x:c>
      <x:c r="W85" s="16" t="str">
        <x:v>https://github.com/octoleo/octosync/commit/cb9f103d2c9c3a969fdd18d6e83c5117c67bd5a4</x:v>
      </x:c>
      <x:c r="X85" s="20" t="str">
        <x:v>extended</x:v>
      </x:c>
    </x:row>
    <x:row r="86" ht="72" hidden="0" customHeight="1">
      <x:c r="A86" s="27" t="n">
        <x:v>82</x:v>
      </x:c>
      <x:c r="B86" s="28" t="str">
        <x:v>Historical / Foundation</x:v>
      </x:c>
      <x:c r="C86" s="27" t="str">
        <x:v>Personal Operations &amp; Automation</x:v>
      </x:c>
      <x:c r="D86" s="27" t="str">
        <x:v>Llewellynvdm/Backup-System</x:v>
      </x:c>
      <x:c r="E86" s="20" t="str">
        <x:v>Llewellynvdm</x:v>
      </x:c>
      <x:c r="F86" s="51" t="n">
        <x:v>42891</x:v>
      </x:c>
      <x:c r="G86" s="51" t="n">
        <x:v>43297</x:v>
      </x:c>
      <x:c r="H86" s="20" t="str">
        <x:v>Historical contribution</x:v>
      </x:c>
      <x:c r="I86" s="52" t="n">
        <x:v>14</x:v>
      </x:c>
      <x:c r="J86" s="52" t="n">
        <x:v>8</x:v>
      </x:c>
      <x:c r="K86" s="52" t="n">
        <x:v>2</x:v>
      </x:c>
      <x:c r="L86" s="52" t="n">
        <x:v>800</x:v>
      </x:c>
      <x:c r="M86" s="52" t="n">
        <x:v>204</x:v>
      </x:c>
      <x:c r="N86" s="52" t="n">
        <x:v>1004</x:v>
      </x:c>
      <x:c r="O86" s="52" t="n">
        <x:v>7</x:v>
      </x:c>
      <x:c r="P86" s="20" t="str">
        <x:v>Shell/Bash</x:v>
      </x:c>
      <x:c r="Q86" s="20" t="str">
        <x:v>Lead maintainer / major contributor</x:v>
      </x:c>
      <x:c r="R86" s="20" t="str">
        <x:v>Intermediate-to-senior applied engineering evidence</x:v>
      </x:c>
      <x:c r="S86" s="20" t="str">
        <x:v>The Bash scripts used to backup database and folders on a server</x:v>
      </x:c>
      <x:c r="T86" s="20" t="str">
        <x:v>Delivered attributable changes across 14 commits and 7 paths in Llewellynvdm/Backup-System; the visible history demonstrates hands-on implementation and maintenance of the bash scripts used to backup database and folders on a server.</x:v>
      </x:c>
      <x:c r="U86" s="20" t="str">
        <x:v>Canonical inclusion refreshed 28 July 2026. Contribution metrics are the identity-aware repository snapshot from 18 July 2026 and must not be summed across repositories.</x:v>
      </x:c>
      <x:c r="V86" s="16" t="str">
        <x:v>https://github.com/Llewellynvdm/Backup-System</x:v>
      </x:c>
      <x:c r="W86" s="16" t="str">
        <x:v>https://github.com/Llewellynvdm/Backup-System/commit/be01e19c56db7cda9eef15e1ff7843bbc54456a0</x:v>
      </x:c>
      <x:c r="X86" s="20" t="str">
        <x:v>extended</x:v>
      </x:c>
    </x:row>
    <x:row r="87" ht="72" hidden="0" customHeight="1">
      <x:c r="A87" s="27" t="n">
        <x:v>83</x:v>
      </x:c>
      <x:c r="B87" s="28" t="str">
        <x:v>Historical / Foundation</x:v>
      </x:c>
      <x:c r="C87" s="27" t="str">
        <x:v>Personal Operations &amp; Automation</x:v>
      </x:c>
      <x:c r="D87" s="27" t="str">
        <x:v>Llewellynvdm/CoinRate</x:v>
      </x:c>
      <x:c r="E87" s="20" t="str">
        <x:v>Llewellynvdm</x:v>
      </x:c>
      <x:c r="F87" s="51" t="n">
        <x:v>43096</x:v>
      </x:c>
      <x:c r="G87" s="51" t="n">
        <x:v>43117</x:v>
      </x:c>
      <x:c r="H87" s="20" t="str">
        <x:v>Historical contribution</x:v>
      </x:c>
      <x:c r="I87" s="52" t="n">
        <x:v>25</x:v>
      </x:c>
      <x:c r="J87" s="52" t="n">
        <x:v>9</x:v>
      </x:c>
      <x:c r="K87" s="52" t="n">
        <x:v>2</x:v>
      </x:c>
      <x:c r="L87" s="52" t="n">
        <x:v>2705</x:v>
      </x:c>
      <x:c r="M87" s="52" t="n">
        <x:v>725</x:v>
      </x:c>
      <x:c r="N87" s="52" t="n">
        <x:v>3430</x:v>
      </x:c>
      <x:c r="O87" s="52" t="n">
        <x:v>13</x:v>
      </x:c>
      <x:c r="P87" s="20" t="str">
        <x:v>Shell/Bash</x:v>
      </x:c>
      <x:c r="Q87" s="20" t="str">
        <x:v>Principal or sole recorded author</x:v>
      </x:c>
      <x:c r="R87" s="20" t="str">
        <x:v>Intermediate-to-senior applied engineering evidence</x:v>
      </x:c>
      <x:c r="S87" s="20" t="str">
        <x:v>Bash command-line utility for retrieving and presenting cryptocurrency exchange-rate data.</x:v>
      </x:c>
      <x:c r="T87" s="20" t="str">
        <x:v>Small historical example of shell-based remote-data retrieval and command-line presentation.</x:v>
      </x:c>
      <x:c r="U87" s="20" t="str">
        <x:v>Canonical inclusion refreshed 28 July 2026. Contribution metrics are the identity-aware repository snapshot from 18 July 2026 and must not be summed across repositories.</x:v>
      </x:c>
      <x:c r="V87" s="16" t="str">
        <x:v>https://github.com/Llewellynvdm/CoinRate</x:v>
      </x:c>
      <x:c r="W87" s="16" t="str">
        <x:v>https://github.com/Llewellynvdm/CoinRate/commit/f41f52f2abc08aac3c4f9fc959ef23a614288551</x:v>
      </x:c>
      <x:c r="X87" s="20" t="str">
        <x:v>extended</x:v>
      </x:c>
    </x:row>
    <x:row r="88" ht="72" hidden="0" customHeight="1">
      <x:c r="A88" s="27" t="n">
        <x:v>84</x:v>
      </x:c>
      <x:c r="B88" s="28" t="str">
        <x:v>Historical / Foundation</x:v>
      </x:c>
      <x:c r="C88" s="27" t="str">
        <x:v>Education &amp; C/C++ Foundations</x:v>
      </x:c>
      <x:c r="D88" s="27" t="str">
        <x:v>Llewellynvdm/GoFish</x:v>
      </x:c>
      <x:c r="E88" s="20" t="str">
        <x:v>Llewellynvdm</x:v>
      </x:c>
      <x:c r="F88" s="51"/>
      <x:c r="G88" s="51"/>
      <x:c r="H88" s="20" t="str">
        <x:v>Historical public repository; exact date metrics not present in original detailed audit</x:v>
      </x:c>
      <x:c r="I88" s="52" t="n">
        <x:v>1</x:v>
      </x:c>
      <x:c r="J88" s="52"/>
      <x:c r="K88" s="52"/>
      <x:c r="L88" s="52"/>
      <x:c r="M88" s="52"/>
      <x:c r="N88" s="52"/>
      <x:c r="O88" s="52"/>
      <x:c r="P88" s="20" t="str">
        <x:v>C++</x:v>
      </x:c>
      <x:c r="Q88" s="20" t="str">
        <x:v>Author / implementation contributor</x:v>
      </x:c>
      <x:c r="R88" s="20" t="str">
        <x:v>Foundational C++ implementation evidence</x:v>
      </x:c>
      <x:c r="S88" s="20" t="str">
        <x:v>“Go Fish” is a classic children’s card game I wrote in C++</x:v>
      </x:c>
      <x:c r="T88" s="20" t="str">
        <x:v>Demonstrates practical object-oriented C++ implementation through a complete card-game project.</x:v>
      </x:c>
      <x:c r="U88" s="20" t="str">
        <x:v>Canonical inclusion refreshed 28 July 2026. Contribution metrics are the identity-aware repository snapshot from 18 July 2026 and must not be summed across repositories.</x:v>
      </x:c>
      <x:c r="V88" s="16" t="str">
        <x:v>https://github.com/Llewellynvdm/GoFish</x:v>
      </x:c>
      <x:c r="W88" s="16" t="str">
        <x:v>https://github.com/Llewellynvdm/GoFish</x:v>
      </x:c>
      <x:c r="X88" s="20" t="str">
        <x:v>extended</x:v>
      </x:c>
    </x:row>
    <x:row r="89" ht="72" hidden="0" customHeight="1">
      <x:c r="A89" s="27" t="n">
        <x:v>85</x:v>
      </x:c>
      <x:c r="B89" s="28" t="str">
        <x:v>Historical / Foundation</x:v>
      </x:c>
      <x:c r="C89" s="27" t="str">
        <x:v>Joomla Applications &amp; Tooling</x:v>
      </x:c>
      <x:c r="D89" s="27" t="str">
        <x:v>Llewellynvdm/Joomla-Demo-Component</x:v>
      </x:c>
      <x:c r="E89" s="20" t="str">
        <x:v>Llewellynvdm</x:v>
      </x:c>
      <x:c r="F89" s="51" t="n">
        <x:v>42240</x:v>
      </x:c>
      <x:c r="G89" s="51" t="n">
        <x:v>44708</x:v>
      </x:c>
      <x:c r="H89" s="20" t="str">
        <x:v>Historical contribution</x:v>
      </x:c>
      <x:c r="I89" s="52" t="n">
        <x:v>36</x:v>
      </x:c>
      <x:c r="J89" s="52" t="n">
        <x:v>26</x:v>
      </x:c>
      <x:c r="K89" s="52" t="n">
        <x:v>19</x:v>
      </x:c>
      <x:c r="L89" s="52" t="n">
        <x:v>369139</x:v>
      </x:c>
      <x:c r="M89" s="52" t="n">
        <x:v>187692</x:v>
      </x:c>
      <x:c r="N89" s="52" t="n">
        <x:v>556831</x:v>
      </x:c>
      <x:c r="O89" s="52" t="n">
        <x:v>1304</x:v>
      </x:c>
      <x:c r="P89" s="20" t="str">
        <x:v>PHP, CSS/SCSS, JavaScript, HTML, XML, SQL</x:v>
      </x:c>
      <x:c r="Q89" s="20" t="str">
        <x:v>Originator/maintainer of mirrored deliverable</x:v>
      </x:c>
      <x:c r="R89" s="20" t="str">
        <x:v>Senior applied engineering evidence</x:v>
      </x:c>
      <x:c r="S89" s="20" t="str">
        <x:v>Generated demonstration Joomla component used to show JCB structure, installation, interfaces and extension-delivery conventions.</x:v>
      </x:c>
      <x:c r="T89" s="20" t="str">
        <x:v>Provides a maintained public reference implementation for developers learning the JCB workflow.</x:v>
      </x:c>
      <x:c r="U89" s="20" t="str">
        <x:v>Canonical inclusion refreshed 28 July 2026. Contribution metrics are the identity-aware repository snapshot from 18 July 2026 and must not be summed across repositories.</x:v>
      </x:c>
      <x:c r="V89" s="16" t="str">
        <x:v>https://github.com/Llewellynvdm/Joomla-Demo-Component</x:v>
      </x:c>
      <x:c r="W89" s="16" t="str">
        <x:v>https://github.com/Llewellynvdm/Joomla-Demo-Component/commit/c7fd1ca5115960924c7ff68ed72d73a8281153ad</x:v>
      </x:c>
      <x:c r="X89" s="20" t="str">
        <x:v>extended</x:v>
      </x:c>
    </x:row>
    <x:row r="90" ht="72" hidden="0" customHeight="1">
      <x:c r="A90" s="27" t="n">
        <x:v>86</x:v>
      </x:c>
      <x:c r="B90" s="28" t="str">
        <x:v>Historical / Foundation</x:v>
      </x:c>
      <x:c r="C90" s="27" t="str">
        <x:v>Joomla Applications &amp; Tooling</x:v>
      </x:c>
      <x:c r="D90" s="27" t="str">
        <x:v>Llewellynvdm/Joomla-Hello-World-Component</x:v>
      </x:c>
      <x:c r="E90" s="20" t="str">
        <x:v>Llewellynvdm</x:v>
      </x:c>
      <x:c r="F90" s="51" t="n">
        <x:v>43225</x:v>
      </x:c>
      <x:c r="G90" s="51" t="n">
        <x:v>44708</x:v>
      </x:c>
      <x:c r="H90" s="20" t="str">
        <x:v>Historical contribution</x:v>
      </x:c>
      <x:c r="I90" s="52" t="n">
        <x:v>8</x:v>
      </x:c>
      <x:c r="J90" s="52" t="n">
        <x:v>7</x:v>
      </x:c>
      <x:c r="K90" s="52" t="n">
        <x:v>7</x:v>
      </x:c>
      <x:c r="L90" s="52" t="n">
        <x:v>311394</x:v>
      </x:c>
      <x:c r="M90" s="52" t="n">
        <x:v>122814</x:v>
      </x:c>
      <x:c r="N90" s="52" t="n">
        <x:v>434208</x:v>
      </x:c>
      <x:c r="O90" s="52" t="n">
        <x:v>1053</x:v>
      </x:c>
      <x:c r="P90" s="20" t="str">
        <x:v>PHP, CSS/SCSS, JavaScript, HTML, XML, SQL</x:v>
      </x:c>
      <x:c r="Q90" s="20" t="str">
        <x:v>Originator/maintainer of mirrored deliverable</x:v>
      </x:c>
      <x:c r="R90" s="20" t="str">
        <x:v>Senior applied engineering evidence</x:v>
      </x:c>
      <x:c r="S90" s="20" t="str">
        <x:v>Introductory Joomla component demonstrating the minimum generated JCB application structure and packaging workflow.</x:v>
      </x:c>
      <x:c r="T90" s="20" t="str">
        <x:v>Creates an accessible starting point for developers adopting the wider platform.</x:v>
      </x:c>
      <x:c r="U90" s="20" t="str">
        <x:v>Canonical inclusion refreshed 28 July 2026. Contribution metrics are the identity-aware repository snapshot from 18 July 2026 and must not be summed across repositories.</x:v>
      </x:c>
      <x:c r="V90" s="16" t="str">
        <x:v>https://github.com/Llewellynvdm/Joomla-Hello-World-Component</x:v>
      </x:c>
      <x:c r="W90" s="16" t="str">
        <x:v>https://github.com/Llewellynvdm/Joomla-Hello-World-Component/commit/805de67bba70cdeddaf2262b74e7205306c23f37</x:v>
      </x:c>
      <x:c r="X90" s="20" t="str">
        <x:v>extended</x:v>
      </x:c>
    </x:row>
    <x:row r="91" ht="72" hidden="0" customHeight="1">
      <x:c r="A91" s="27" t="n">
        <x:v>87</x:v>
      </x:c>
      <x:c r="B91" s="28" t="str">
        <x:v>Historical / Foundation</x:v>
      </x:c>
      <x:c r="C91" s="27" t="str">
        <x:v>Joomla Applications &amp; Tooling</x:v>
      </x:c>
      <x:c r="D91" s="27" t="str">
        <x:v>Llewellynvdm/Joomla-Members-Manager</x:v>
      </x:c>
      <x:c r="E91" s="20" t="str">
        <x:v>Llewellynvdm</x:v>
      </x:c>
      <x:c r="F91" s="51" t="n">
        <x:v>43292</x:v>
      </x:c>
      <x:c r="G91" s="51" t="n">
        <x:v>44708</x:v>
      </x:c>
      <x:c r="H91" s="20" t="str">
        <x:v>Historical contribution</x:v>
      </x:c>
      <x:c r="I91" s="52" t="n">
        <x:v>13</x:v>
      </x:c>
      <x:c r="J91" s="52" t="n">
        <x:v>13</x:v>
      </x:c>
      <x:c r="K91" s="52" t="n">
        <x:v>10</x:v>
      </x:c>
      <x:c r="L91" s="52" t="n">
        <x:v>431927</x:v>
      </x:c>
      <x:c r="M91" s="52" t="n">
        <x:v>166616</x:v>
      </x:c>
      <x:c r="N91" s="52" t="n">
        <x:v>598543</x:v>
      </x:c>
      <x:c r="O91" s="52" t="n">
        <x:v>1312</x:v>
      </x:c>
      <x:c r="P91" s="20" t="str">
        <x:v>PHP, CSS/SCSS, JavaScript, HTML, XML, SQL</x:v>
      </x:c>
      <x:c r="Q91" s="20" t="str">
        <x:v>Originator/maintainer of mirrored deliverable</x:v>
      </x:c>
      <x:c r="R91" s="20" t="str">
        <x:v>Senior applied engineering evidence</x:v>
      </x:c>
      <x:c r="S91" s="20" t="str">
        <x:v>Joomla application for managing member records, relationships and administrative workflows.</x:v>
      </x:c>
      <x:c r="T91" s="20" t="str">
        <x:v>Demonstrates domain modelling, access-controlled administration and complete extension delivery.</x:v>
      </x:c>
      <x:c r="U91" s="20" t="str">
        <x:v>Canonical inclusion refreshed 28 July 2026. Contribution metrics are the identity-aware repository snapshot from 18 July 2026 and must not be summed across repositories.</x:v>
      </x:c>
      <x:c r="V91" s="16" t="str">
        <x:v>https://github.com/Llewellynvdm/Joomla-Members-Manager</x:v>
      </x:c>
      <x:c r="W91" s="16" t="str">
        <x:v>https://github.com/Llewellynvdm/Joomla-Members-Manager/commit/f0d8a687d915f5dd6bf10c476fd65919071c0210</x:v>
      </x:c>
      <x:c r="X91" s="20" t="str">
        <x:v>extended</x:v>
      </x:c>
    </x:row>
    <x:row r="92" ht="72" hidden="0" customHeight="1">
      <x:c r="A92" s="27" t="n">
        <x:v>88</x:v>
      </x:c>
      <x:c r="B92" s="28" t="str">
        <x:v>Historical / Foundation</x:v>
      </x:c>
      <x:c r="C92" s="27" t="str">
        <x:v>Joomla Applications &amp; Tooling</x:v>
      </x:c>
      <x:c r="D92" s="27" t="str">
        <x:v>Llewellynvdm/Joomla-Questions-and-Answers</x:v>
      </x:c>
      <x:c r="E92" s="20" t="str">
        <x:v>Llewellynvdm</x:v>
      </x:c>
      <x:c r="F92" s="51" t="n">
        <x:v>43214</x:v>
      </x:c>
      <x:c r="G92" s="51" t="n">
        <x:v>44708</x:v>
      </x:c>
      <x:c r="H92" s="20" t="str">
        <x:v>Historical contribution</x:v>
      </x:c>
      <x:c r="I92" s="52" t="n">
        <x:v>11</x:v>
      </x:c>
      <x:c r="J92" s="52" t="n">
        <x:v>11</x:v>
      </x:c>
      <x:c r="K92" s="52" t="n">
        <x:v>11</x:v>
      </x:c>
      <x:c r="L92" s="52" t="n">
        <x:v>388437</x:v>
      </x:c>
      <x:c r="M92" s="52" t="n">
        <x:v>140642</x:v>
      </x:c>
      <x:c r="N92" s="52" t="n">
        <x:v>529079</x:v>
      </x:c>
      <x:c r="O92" s="52" t="n">
        <x:v>1182</x:v>
      </x:c>
      <x:c r="P92" s="20" t="str">
        <x:v>PHP, CSS/SCSS, JavaScript, HTML, XML, SQL</x:v>
      </x:c>
      <x:c r="Q92" s="20" t="str">
        <x:v>Originator/maintainer of mirrored deliverable</x:v>
      </x:c>
      <x:c r="R92" s="20" t="str">
        <x:v>Senior applied engineering evidence</x:v>
      </x:c>
      <x:c r="S92" s="20" t="str">
        <x:v>Joomla question-and-answer application with structured content, administration and user-facing interaction.</x:v>
      </x:c>
      <x:c r="T92" s="20" t="str">
        <x:v>Shows reusable application architecture applied to a complete community information workflow.</x:v>
      </x:c>
      <x:c r="U92" s="20" t="str">
        <x:v>Canonical inclusion refreshed 28 July 2026. Contribution metrics are the identity-aware repository snapshot from 18 July 2026 and must not be summed across repositories.</x:v>
      </x:c>
      <x:c r="V92" s="16" t="str">
        <x:v>https://github.com/Llewellynvdm/Joomla-Questions-and-Answers</x:v>
      </x:c>
      <x:c r="W92" s="16" t="str">
        <x:v>https://github.com/Llewellynvdm/Joomla-Questions-and-Answers/commit/1306bc04f411c65f6c2fcbebd868d89c25d13782</x:v>
      </x:c>
      <x:c r="X92" s="20" t="str">
        <x:v>extended</x:v>
      </x:c>
    </x:row>
    <x:row r="93" ht="72" hidden="0" customHeight="1">
      <x:c r="A93" s="27" t="n">
        <x:v>89</x:v>
      </x:c>
      <x:c r="B93" s="28" t="str">
        <x:v>Historical / Foundation</x:v>
      </x:c>
      <x:c r="C93" s="27" t="str">
        <x:v>Joomla Applications &amp; Tooling</x:v>
      </x:c>
      <x:c r="D93" s="27" t="str">
        <x:v>Llewellynvdm/Joomla-Support-Groups</x:v>
      </x:c>
      <x:c r="E93" s="20" t="str">
        <x:v>Llewellynvdm</x:v>
      </x:c>
      <x:c r="F93" s="51" t="n">
        <x:v>42435</x:v>
      </x:c>
      <x:c r="G93" s="51" t="n">
        <x:v>44623</x:v>
      </x:c>
      <x:c r="H93" s="20" t="str">
        <x:v>Historical contribution</x:v>
      </x:c>
      <x:c r="I93" s="52" t="n">
        <x:v>11</x:v>
      </x:c>
      <x:c r="J93" s="52" t="n">
        <x:v>10</x:v>
      </x:c>
      <x:c r="K93" s="52" t="n">
        <x:v>8</x:v>
      </x:c>
      <x:c r="L93" s="52" t="n">
        <x:v>473262</x:v>
      </x:c>
      <x:c r="M93" s="52" t="n">
        <x:v>225161</x:v>
      </x:c>
      <x:c r="N93" s="52" t="n">
        <x:v>698423</x:v>
      </x:c>
      <x:c r="O93" s="52" t="n">
        <x:v>1791</x:v>
      </x:c>
      <x:c r="P93" s="20" t="str">
        <x:v>PHP, CSS/SCSS, JavaScript, HTML, XML, SQL</x:v>
      </x:c>
      <x:c r="Q93" s="20" t="str">
        <x:v>Originator/maintainer of mirrored deliverable</x:v>
      </x:c>
      <x:c r="R93" s="20" t="str">
        <x:v>Senior applied engineering evidence</x:v>
      </x:c>
      <x:c r="S93" s="20" t="str">
        <x:v>Joomla application supporting structured group, participant and programme administration.</x:v>
      </x:c>
      <x:c r="T93" s="20" t="str">
        <x:v>Demonstrates a multi-year application lineage with domain modelling, administration and maintained Joomla delivery.</x:v>
      </x:c>
      <x:c r="U93" s="20" t="str">
        <x:v>Canonical inclusion refreshed 28 July 2026. Contribution metrics are the identity-aware repository snapshot from 18 July 2026 and must not be summed across repositories.</x:v>
      </x:c>
      <x:c r="V93" s="16" t="str">
        <x:v>https://github.com/Llewellynvdm/Joomla-Support-Groups</x:v>
      </x:c>
      <x:c r="W93" s="16" t="str">
        <x:v>https://github.com/Llewellynvdm/Joomla-Support-Groups/commit/8fa63651c2dba55ff723b46e978c0a457e09b55b</x:v>
      </x:c>
      <x:c r="X93" s="20" t="str">
        <x:v>extended</x:v>
      </x:c>
    </x:row>
    <x:row r="94" ht="72" hidden="0" customHeight="1">
      <x:c r="A94" s="27" t="n">
        <x:v>90</x:v>
      </x:c>
      <x:c r="B94" s="28" t="str">
        <x:v>Historical / Foundation</x:v>
      </x:c>
      <x:c r="C94" s="27" t="str">
        <x:v>Joomla Applications &amp; Tooling</x:v>
      </x:c>
      <x:c r="D94" s="27" t="str">
        <x:v>Llewellynvdm/Joomla-XML-Lang-stream</x:v>
      </x:c>
      <x:c r="E94" s="20" t="str">
        <x:v>Llewellynvdm</x:v>
      </x:c>
      <x:c r="F94" s="51" t="n">
        <x:v>44348</x:v>
      </x:c>
      <x:c r="G94" s="51" t="n">
        <x:v>44348</x:v>
      </x:c>
      <x:c r="H94" s="20" t="str">
        <x:v>Historical contribution</x:v>
      </x:c>
      <x:c r="I94" s="52" t="n">
        <x:v>6</x:v>
      </x:c>
      <x:c r="J94" s="52" t="n">
        <x:v>1</x:v>
      </x:c>
      <x:c r="K94" s="52" t="n">
        <x:v>1</x:v>
      </x:c>
      <x:c r="L94" s="52" t="n">
        <x:v>1921</x:v>
      </x:c>
      <x:c r="M94" s="52" t="n">
        <x:v>54</x:v>
      </x:c>
      <x:c r="N94" s="52" t="n">
        <x:v>1975</x:v>
      </x:c>
      <x:c r="O94" s="52" t="n">
        <x:v>52</x:v>
      </x:c>
      <x:c r="P94" s="20" t="str">
        <x:v>XML, Shell/Bash, YAML/CI</x:v>
      </x:c>
      <x:c r="Q94" s="20" t="str">
        <x:v>Principal or sole recorded author</x:v>
      </x:c>
      <x:c r="R94" s="20" t="str">
        <x:v>Focused supporting implementation evidence</x:v>
      </x:c>
      <x:c r="S94" s="20" t="str">
        <x:v>XML and Bash automation for synchronising Joomla language material through a source-controlled workflow.</x:v>
      </x:c>
      <x:c r="T94" s="20" t="str">
        <x:v>Provides supporting evidence of localisation, structured-data transformation and CI-oriented automation.</x:v>
      </x:c>
      <x:c r="U94" s="20" t="str">
        <x:v>Canonical inclusion refreshed 28 July 2026. Contribution metrics are the identity-aware repository snapshot from 18 July 2026 and must not be summed across repositories.</x:v>
      </x:c>
      <x:c r="V94" s="16" t="str">
        <x:v>https://github.com/Llewellynvdm/Joomla-XML-Lang-stream</x:v>
      </x:c>
      <x:c r="W94" s="16" t="str">
        <x:v>https://github.com/Llewellynvdm/Joomla-XML-Lang-stream/commit/c1a8058e3a4f435297ce39de4cd04ee4ba522aa4</x:v>
      </x:c>
      <x:c r="X94" s="20" t="str">
        <x:v>extended</x:v>
      </x:c>
    </x:row>
    <x:row r="95" ht="72" hidden="0" customHeight="1">
      <x:c r="A95" s="27" t="n">
        <x:v>91</x:v>
      </x:c>
      <x:c r="B95" s="28" t="str">
        <x:v>Historical / Foundation</x:v>
      </x:c>
      <x:c r="C95" s="27" t="str">
        <x:v>Joomla Applications &amp; Tooling</x:v>
      </x:c>
      <x:c r="D95" s="27" t="str">
        <x:v>Llewellynvdm/mod_pergroup</x:v>
      </x:c>
      <x:c r="E95" s="20" t="str">
        <x:v>Llewellynvdm</x:v>
      </x:c>
      <x:c r="F95" s="51" t="n">
        <x:v>41817</x:v>
      </x:c>
      <x:c r="G95" s="51" t="n">
        <x:v>43682</x:v>
      </x:c>
      <x:c r="H95" s="20" t="str">
        <x:v>Historical contribution</x:v>
      </x:c>
      <x:c r="I95" s="52" t="n">
        <x:v>7</x:v>
      </x:c>
      <x:c r="J95" s="52" t="n">
        <x:v>5</x:v>
      </x:c>
      <x:c r="K95" s="52" t="n">
        <x:v>5</x:v>
      </x:c>
      <x:c r="L95" s="52" t="n">
        <x:v>1101</x:v>
      </x:c>
      <x:c r="M95" s="52" t="n">
        <x:v>58</x:v>
      </x:c>
      <x:c r="N95" s="52" t="n">
        <x:v>1159</x:v>
      </x:c>
      <x:c r="O95" s="52" t="n">
        <x:v>16</x:v>
      </x:c>
      <x:c r="P95" s="20" t="str">
        <x:v>PHP, HTML, XML, JavaScript, CSS/SCSS</x:v>
      </x:c>
      <x:c r="Q95" s="20" t="str">
        <x:v>Originator/maintainer of mirrored deliverable</x:v>
      </x:c>
      <x:c r="R95" s="20" t="str">
        <x:v>Focused supporting implementation evidence</x:v>
      </x:c>
      <x:c r="S95" s="20" t="str">
        <x:v>Joomla module for presenting content or functionality according to configured user-group context.</x:v>
      </x:c>
      <x:c r="T95" s="20" t="str">
        <x:v>Historical evidence of Joomla access-aware module development and long-term extension maintenance.</x:v>
      </x:c>
      <x:c r="U95" s="20" t="str">
        <x:v>Canonical inclusion refreshed 28 July 2026. Contribution metrics are the identity-aware repository snapshot from 18 July 2026 and must not be summed across repositories.</x:v>
      </x:c>
      <x:c r="V95" s="16" t="str">
        <x:v>https://github.com/Llewellynvdm/mod_pergroup</x:v>
      </x:c>
      <x:c r="W95" s="16" t="str">
        <x:v>https://github.com/Llewellynvdm/mod_pergroup/commit/177f07adffe91f490594d610b0d61de1ca8ef8a5</x:v>
      </x:c>
      <x:c r="X95" s="20" t="str">
        <x:v>extended</x:v>
      </x:c>
    </x:row>
    <x:row r="96" ht="72" hidden="0" customHeight="1">
      <x:c r="A96" s="27" t="n">
        <x:v>92</x:v>
      </x:c>
      <x:c r="B96" s="28" t="str">
        <x:v>Historical / Foundation</x:v>
      </x:c>
      <x:c r="C96" s="27" t="str">
        <x:v>Historical VDM / Joomla Public Estate</x:v>
      </x:c>
      <x:c r="D96" s="27" t="str">
        <x:v>vdm-io/.github</x:v>
      </x:c>
      <x:c r="E96" s="20" t="str">
        <x:v>vdm-io</x:v>
      </x:c>
      <x:c r="F96" s="51" t="n">
        <x:v>45501</x:v>
      </x:c>
      <x:c r="G96" s="51" t="n">
        <x:v>45501</x:v>
      </x:c>
      <x:c r="H96" s="20" t="str">
        <x:v>Historical contribution; latest attributable commit 2024-07-28</x:v>
      </x:c>
      <x:c r="I96" s="52" t="n">
        <x:v>3</x:v>
      </x:c>
      <x:c r="J96" s="52" t="n">
        <x:v>1</x:v>
      </x:c>
      <x:c r="K96" s="52" t="n">
        <x:v>1</x:v>
      </x:c>
      <x:c r="L96" s="52" t="n">
        <x:v>31</x:v>
      </x:c>
      <x:c r="M96" s="52" t="n">
        <x:v>1</x:v>
      </x:c>
      <x:c r="N96" s="52" t="n">
        <x:v>32</x:v>
      </x:c>
      <x:c r="O96" s="52" t="n">
        <x:v>2</x:v>
      </x:c>
      <x:c r="P96" s="20" t="str"/>
      <x:c r="Q96" s="20" t="str">
        <x:v>Repository maintainer and attributable contributor</x:v>
      </x:c>
      <x:c r="R96" s="20" t="str">
        <x:v>Historical ledger-only evidence; retained for canonical traceability and not selected for CV presentation.</x:v>
      </x:c>
      <x:c r="S96" s="20" t="str">
        <x:v>Public repository maintained under vdm-io.</x:v>
      </x:c>
      <x:c r="T96" s="20" t="str">
        <x:v>Adds a maintained capability to the GetBible, JCB, Joomla/Docker, or VDM open-source ecosystem.</x:v>
      </x:c>
      <x:c r="U96" s="20" t="str">
        <x:v>Historical lineage retained under the canonical reconciliation. Do not feature this organisation in the CV; current public evidence is presented through the priority custodians.</x:v>
      </x:c>
      <x:c r="V96" s="16" t="str">
        <x:v>https://github.com/vdm-io/.github</x:v>
      </x:c>
      <x:c r="W96" s="16" t="str">
        <x:v>https://github.com/vdm-io/.github</x:v>
      </x:c>
      <x:c r="X96" s="20" t="str">
        <x:v>primary</x:v>
      </x:c>
    </x:row>
    <x:row r="97" ht="72" hidden="0" customHeight="1">
      <x:c r="A97" s="27" t="n">
        <x:v>93</x:v>
      </x:c>
      <x:c r="B97" s="28" t="str">
        <x:v>Historical / Foundation</x:v>
      </x:c>
      <x:c r="C97" s="27" t="str">
        <x:v>Historical VDM / Joomla Public Estate</x:v>
      </x:c>
      <x:c r="D97" s="27" t="str">
        <x:v>vdm-io/data</x:v>
      </x:c>
      <x:c r="E97" s="20" t="str">
        <x:v>vdm-io</x:v>
      </x:c>
      <x:c r="F97" s="51" t="n">
        <x:v>45471</x:v>
      </x:c>
      <x:c r="G97" s="51" t="n">
        <x:v>45471</x:v>
      </x:c>
      <x:c r="H97" s="20" t="str">
        <x:v>Historical contribution; latest attributable commit 2024-06-28</x:v>
      </x:c>
      <x:c r="I97" s="52" t="n">
        <x:v>1</x:v>
      </x:c>
      <x:c r="J97" s="52" t="n">
        <x:v>1</x:v>
      </x:c>
      <x:c r="K97" s="52" t="n">
        <x:v>1</x:v>
      </x:c>
      <x:c r="L97" s="52" t="n">
        <x:v>7982</x:v>
      </x:c>
      <x:c r="M97" s="52" t="n">
        <x:v>0</x:v>
      </x:c>
      <x:c r="N97" s="52" t="n">
        <x:v>7982</x:v>
      </x:c>
      <x:c r="O97" s="52" t="n">
        <x:v>47</x:v>
      </x:c>
      <x:c r="P97" s="20" t="str">
        <x:v>PHP</x:v>
      </x:c>
      <x:c r="Q97" s="20" t="str">
        <x:v>Repository maintainer and attributable contributor</x:v>
      </x:c>
      <x:c r="R97" s="20" t="str">
        <x:v>Historical ledger-only evidence; retained for canonical traceability and not selected for CV presentation.</x:v>
      </x:c>
      <x:c r="S97" s="20" t="str">
        <x:v>mirror of https://git.vdm.dev/joomla/vdm-data</x:v>
      </x:c>
      <x:c r="T97" s="20" t="str">
        <x:v>Adds a maintained capability to the GetBible, JCB, Joomla/Docker, or VDM open-source ecosystem.</x:v>
      </x:c>
      <x:c r="U97" s="20" t="str">
        <x:v>Historical lineage retained under the canonical reconciliation. Do not feature this organisation in the CV; current public evidence is presented through the priority custodians.</x:v>
      </x:c>
      <x:c r="V97" s="16" t="str">
        <x:v>https://github.com/vdm-io/data</x:v>
      </x:c>
      <x:c r="W97" s="16" t="str">
        <x:v>https://github.com/vdm-io/data</x:v>
      </x:c>
      <x:c r="X97" s="20" t="str">
        <x:v>primary</x:v>
      </x:c>
    </x:row>
    <x:row r="98" ht="72" hidden="0" customHeight="1">
      <x:c r="A98" s="27" t="n">
        <x:v>94</x:v>
      </x:c>
      <x:c r="B98" s="28" t="str">
        <x:v>Historical / Foundation</x:v>
      </x:c>
      <x:c r="C98" s="27" t="str">
        <x:v>Historical VDM / Joomla Public Estate</x:v>
      </x:c>
      <x:c r="D98" s="27" t="str">
        <x:v>vdm-io/dynamic-ip</x:v>
      </x:c>
      <x:c r="E98" s="20" t="str">
        <x:v>vdm-io</x:v>
      </x:c>
      <x:c r="F98" s="51" t="n">
        <x:v>42921</x:v>
      </x:c>
      <x:c r="G98" s="51" t="n">
        <x:v>44404</x:v>
      </x:c>
      <x:c r="H98" s="20" t="str">
        <x:v>Historical contribution; latest attributable commit 2021-07-27</x:v>
      </x:c>
      <x:c r="I98" s="52" t="n">
        <x:v>23</x:v>
      </x:c>
      <x:c r="J98" s="52" t="n">
        <x:v>9</x:v>
      </x:c>
      <x:c r="K98" s="52" t="n">
        <x:v>3</x:v>
      </x:c>
      <x:c r="L98" s="52" t="n">
        <x:v>1466</x:v>
      </x:c>
      <x:c r="M98" s="52" t="n">
        <x:v>292</x:v>
      </x:c>
      <x:c r="N98" s="52" t="n">
        <x:v>1758</x:v>
      </x:c>
      <x:c r="O98" s="52" t="n">
        <x:v>5</x:v>
      </x:c>
      <x:c r="P98" s="20" t="str">
        <x:v>Shell/Bash</x:v>
      </x:c>
      <x:c r="Q98" s="20" t="str">
        <x:v>Repository maintainer and attributable contributor</x:v>
      </x:c>
      <x:c r="R98" s="20" t="str">
        <x:v>Historical ledger-only evidence; retained for canonical traceability and not selected for CV presentation.</x:v>
      </x:c>
      <x:c r="S98" s="20" t="str">
        <x:v>Shell-based dynamic DNS/IP update automation.</x:v>
      </x:c>
      <x:c r="T98" s="20" t="str">
        <x:v>Adds a maintained capability to the GetBible, JCB, Joomla/Docker, or VDM open-source ecosystem.</x:v>
      </x:c>
      <x:c r="U98" s="20" t="str">
        <x:v>Historical lineage retained under the canonical reconciliation. Do not feature this organisation in the CV; current public evidence is presented through the priority custodians.</x:v>
      </x:c>
      <x:c r="V98" s="16" t="str">
        <x:v>https://github.com/vdm-io/dynamic-ip</x:v>
      </x:c>
      <x:c r="W98" s="16" t="str">
        <x:v>https://github.com/vdm-io/dynamic-ip</x:v>
      </x:c>
      <x:c r="X98" s="20" t="str">
        <x:v>primary</x:v>
      </x:c>
    </x:row>
    <x:row r="99" ht="72" hidden="0" customHeight="1">
      <x:c r="A99" s="27" t="n">
        <x:v>95</x:v>
      </x:c>
      <x:c r="B99" s="28" t="str">
        <x:v>Historical / Foundation</x:v>
      </x:c>
      <x:c r="C99" s="27" t="str">
        <x:v>Historical VDM / Joomla Public Estate</x:v>
      </x:c>
      <x:c r="D99" s="27" t="str">
        <x:v>vdm-io/Joomla-Location-Data</x:v>
      </x:c>
      <x:c r="E99" s="20" t="str">
        <x:v>vdm-io</x:v>
      </x:c>
      <x:c r="F99" s="51" t="n">
        <x:v>42768</x:v>
      </x:c>
      <x:c r="G99" s="51" t="n">
        <x:v>43107</x:v>
      </x:c>
      <x:c r="H99" s="20" t="str">
        <x:v>Archived repository; latest attributable commit 2018-01-07</x:v>
      </x:c>
      <x:c r="I99" s="52" t="n">
        <x:v>11</x:v>
      </x:c>
      <x:c r="J99" s="52" t="n">
        <x:v>6</x:v>
      </x:c>
      <x:c r="K99" s="52" t="n">
        <x:v>3</x:v>
      </x:c>
      <x:c r="L99" s="52" t="n">
        <x:v>208187</x:v>
      </x:c>
      <x:c r="M99" s="52" t="n">
        <x:v>7506</x:v>
      </x:c>
      <x:c r="N99" s="52" t="n">
        <x:v>215693</x:v>
      </x:c>
      <x:c r="O99" s="52" t="n">
        <x:v>797</x:v>
      </x:c>
      <x:c r="P99" s="20" t="str">
        <x:v>PHP, CSS, HTML, JavaScript, SQL</x:v>
      </x:c>
      <x:c r="Q99" s="20" t="str">
        <x:v>Lead application engineer and JCB-based delivery maintainer</x:v>
      </x:c>
      <x:c r="R99" s="20" t="str">
        <x:v>Historical ledger-only evidence; retained for canonical traceability and not selected for CV presentation.</x:v>
      </x:c>
      <x:c r="S99" s="20" t="str">
        <x:v>Generated Joomla application for location, currency, and IP-derived data.</x:v>
      </x:c>
      <x:c r="T99" s="20" t="str">
        <x:v>Demonstrates complete production application delivery, including data model, backend, frontend, access control, assets, packaging, and upgrade paths.</x:v>
      </x:c>
      <x:c r="U99" s="20" t="str">
        <x:v>Historical lineage retained under the canonical reconciliation. Do not feature this organisation in the CV; current public evidence is presented through the priority custodians.</x:v>
      </x:c>
      <x:c r="V99" s="16" t="str">
        <x:v>https://github.com/vdm-io/Joomla-Location-Data</x:v>
      </x:c>
      <x:c r="W99" s="16" t="str">
        <x:v>https://github.com/vdm-io/Joomla-Location-Data</x:v>
      </x:c>
      <x:c r="X99" s="20" t="str">
        <x:v>primary</x:v>
      </x:c>
    </x:row>
    <x:row r="100" ht="72" hidden="0" customHeight="1">
      <x:c r="A100" s="27" t="n">
        <x:v>96</x:v>
      </x:c>
      <x:c r="B100" s="28" t="str">
        <x:v>Historical / Foundation</x:v>
      </x:c>
      <x:c r="C100" s="27" t="str">
        <x:v>Historical VDM / Joomla Public Estate</x:v>
      </x:c>
      <x:c r="D100" s="27" t="str">
        <x:v>vdm-io/tcpdf</x:v>
      </x:c>
      <x:c r="E100" s="20" t="str">
        <x:v>vdm-io</x:v>
      </x:c>
      <x:c r="F100" s="51" t="n">
        <x:v>42524</x:v>
      </x:c>
      <x:c r="G100" s="51" t="n">
        <x:v>45333</x:v>
      </x:c>
      <x:c r="H100" s="20" t="str">
        <x:v>Historical contribution; latest attributable commit 2024-02-11</x:v>
      </x:c>
      <x:c r="I100" s="52" t="n">
        <x:v>14</x:v>
      </x:c>
      <x:c r="J100" s="52" t="n">
        <x:v>7</x:v>
      </x:c>
      <x:c r="K100" s="52" t="n">
        <x:v>6</x:v>
      </x:c>
      <x:c r="L100" s="52" t="n">
        <x:v>113702</x:v>
      </x:c>
      <x:c r="M100" s="52" t="n">
        <x:v>35403</x:v>
      </x:c>
      <x:c r="N100" s="52" t="n">
        <x:v>149105</x:v>
      </x:c>
      <x:c r="O100" s="52" t="n">
        <x:v>589</x:v>
      </x:c>
      <x:c r="P100" s="20" t="str">
        <x:v>PHP</x:v>
      </x:c>
      <x:c r="Q100" s="20" t="str">
        <x:v>Repository maintainer and attributable contributor</x:v>
      </x:c>
      <x:c r="R100" s="20" t="str">
        <x:v>Historical ledger-only evidence; retained for canonical traceability and not selected for CV presentation.</x:v>
      </x:c>
      <x:c r="S100" s="20" t="str">
        <x:v>Joomla-oriented TCPDF maintenance fork with attributable adaptation and update work.</x:v>
      </x:c>
      <x:c r="T100" s="20" t="str">
        <x:v>Adds a maintained capability to the GetBible, JCB, Joomla/Docker, or VDM open-source ecosystem.</x:v>
      </x:c>
      <x:c r="U100" s="20" t="str">
        <x:v>Historical lineage retained under the canonical reconciliation. Do not feature this organisation in the CV; current public evidence is presented through the priority custodians.</x:v>
      </x:c>
      <x:c r="V100" s="16" t="str">
        <x:v>https://github.com/vdm-io/tcpdf</x:v>
      </x:c>
      <x:c r="W100" s="16" t="str">
        <x:v>https://github.com/vdm-io/tcpdf</x:v>
      </x:c>
      <x:c r="X100" s="20" t="str">
        <x:v>primary</x:v>
      </x:c>
    </x:row>
    <x:row r="101" ht="72" hidden="0" customHeight="1">
      <x:c r="A101" s="27" t="n">
        <x:v>97</x:v>
      </x:c>
      <x:c r="B101" s="28" t="str">
        <x:v>Historical / Foundation</x:v>
      </x:c>
      <x:c r="C101" s="27" t="str">
        <x:v>Historical VDM / Joomla Public Estate</x:v>
      </x:c>
      <x:c r="D101" s="27" t="str">
        <x:v>vdm-io/updateForks</x:v>
      </x:c>
      <x:c r="E101" s="20" t="str">
        <x:v>vdm-io</x:v>
      </x:c>
      <x:c r="F101" s="51" t="n">
        <x:v>43052</x:v>
      </x:c>
      <x:c r="G101" s="51" t="n">
        <x:v>43311</x:v>
      </x:c>
      <x:c r="H101" s="20" t="str">
        <x:v>Historical contribution; latest attributable commit 2018-07-30</x:v>
      </x:c>
      <x:c r="I101" s="52" t="n">
        <x:v>5</x:v>
      </x:c>
      <x:c r="J101" s="52" t="n">
        <x:v>4</x:v>
      </x:c>
      <x:c r="K101" s="52" t="n">
        <x:v>3</x:v>
      </x:c>
      <x:c r="L101" s="52" t="n">
        <x:v>1074</x:v>
      </x:c>
      <x:c r="M101" s="52" t="n">
        <x:v>26</x:v>
      </x:c>
      <x:c r="N101" s="52" t="n">
        <x:v>1100</x:v>
      </x:c>
      <x:c r="O101" s="52" t="n">
        <x:v>9</x:v>
      </x:c>
      <x:c r="P101" s="20" t="str">
        <x:v>Shell/Bash</x:v>
      </x:c>
      <x:c r="Q101" s="20" t="str">
        <x:v>Repository maintainer and attributable contributor</x:v>
      </x:c>
      <x:c r="R101" s="20" t="str">
        <x:v>Historical ledger-only evidence; retained for canonical traceability and not selected for CV presentation.</x:v>
      </x:c>
      <x:c r="S101" s="20" t="str">
        <x:v>Shell utility for updating GitHub forks.</x:v>
      </x:c>
      <x:c r="T101" s="20" t="str">
        <x:v>Adds a maintained capability to the GetBible, JCB, Joomla/Docker, or VDM open-source ecosystem.</x:v>
      </x:c>
      <x:c r="U101" s="20" t="str">
        <x:v>Historical lineage retained under the canonical reconciliation. Do not feature this organisation in the CV; current public evidence is presented through the priority custodians.</x:v>
      </x:c>
      <x:c r="V101" s="16" t="str">
        <x:v>https://github.com/vdm-io/updateForks</x:v>
      </x:c>
      <x:c r="W101" s="16" t="str">
        <x:v>https://github.com/vdm-io/updateForks</x:v>
      </x:c>
      <x:c r="X101" s="20" t="str">
        <x:v>primary</x:v>
      </x:c>
    </x:row>
    <x:row r="102" ht="72" hidden="0" customHeight="1">
      <x:c r="A102" s="27" t="n">
        <x:v>98</x:v>
      </x:c>
      <x:c r="B102" s="28" t="str">
        <x:v>Historical / Foundation</x:v>
      </x:c>
      <x:c r="C102" s="27" t="str">
        <x:v>Historical Namibian Joomla Applications</x:v>
      </x:c>
      <x:c r="D102" s="27" t="str">
        <x:v>namibia/CBP-Joomla-2-Component</x:v>
      </x:c>
      <x:c r="E102" s="20" t="str">
        <x:v>namibia</x:v>
      </x:c>
      <x:c r="F102" s="51" t="n">
        <x:v>41729</x:v>
      </x:c>
      <x:c r="G102" s="51" t="n">
        <x:v>41780</x:v>
      </x:c>
      <x:c r="H102" s="20" t="str">
        <x:v>Historical contribution</x:v>
      </x:c>
      <x:c r="I102" s="52" t="n">
        <x:v>16</x:v>
      </x:c>
      <x:c r="J102" s="52" t="n">
        <x:v>8</x:v>
      </x:c>
      <x:c r="K102" s="52" t="n">
        <x:v>3</x:v>
      </x:c>
      <x:c r="L102" s="52" t="n">
        <x:v>227336</x:v>
      </x:c>
      <x:c r="M102" s="52" t="n">
        <x:v>12546</x:v>
      </x:c>
      <x:c r="N102" s="52" t="n">
        <x:v>239882</x:v>
      </x:c>
      <x:c r="O102" s="52" t="n">
        <x:v>1005</x:v>
      </x:c>
      <x:c r="P102" s="20" t="str">
        <x:v>PHP, HTML, JavaScript, CSS/SCSS, XML, SQL</x:v>
      </x:c>
      <x:c r="Q102" s="20" t="str">
        <x:v>Principal or sole recorded author</x:v>
      </x:c>
      <x:c r="R102" s="20" t="str">
        <x:v>Senior applied engineering evidence</x:v>
      </x:c>
      <x:c r="S102" s="20" t="str">
        <x:v>Historical Joomla 2 cost-benefit projection component implementing structured domain, data and presentation logic.</x:v>
      </x:c>
      <x:c r="T102" s="20" t="str">
        <x:v>Early evidence of applying Joomla application architecture to a substantive modelling problem.</x:v>
      </x:c>
      <x:c r="U102" s="20" t="str">
        <x:v>Canonical inclusion refreshed 28 July 2026. Contribution metrics are the identity-aware repository snapshot from 18 July 2026 and must not be summed across repositories.</x:v>
      </x:c>
      <x:c r="V102" s="16" t="str">
        <x:v>https://github.com/namibia/CBP-Joomla-2-Component</x:v>
      </x:c>
      <x:c r="W102" s="16" t="str">
        <x:v>https://github.com/namibia/CBP-Joomla-2-Component/commit/9f261da43a7475f45f414975b5e112580555b940</x:v>
      </x:c>
      <x:c r="X102" s="20" t="str">
        <x:v>extended</x:v>
      </x:c>
    </x:row>
    <x:row r="103" ht="72" hidden="0" customHeight="1">
      <x:c r="A103" s="27" t="n">
        <x:v>99</x:v>
      </x:c>
      <x:c r="B103" s="28" t="str">
        <x:v>Historical / Foundation</x:v>
      </x:c>
      <x:c r="C103" s="27" t="str">
        <x:v>Historical Namibian Joomla Applications</x:v>
      </x:c>
      <x:c r="D103" s="27" t="str">
        <x:v>namibia/dropboxlinks</x:v>
      </x:c>
      <x:c r="E103" s="20" t="str">
        <x:v>namibia</x:v>
      </x:c>
      <x:c r="F103" s="51" t="n">
        <x:v>42186</x:v>
      </x:c>
      <x:c r="G103" s="51" t="n">
        <x:v>42186</x:v>
      </x:c>
      <x:c r="H103" s="20" t="str">
        <x:v>Historical contribution</x:v>
      </x:c>
      <x:c r="I103" s="52" t="n">
        <x:v>2</x:v>
      </x:c>
      <x:c r="J103" s="52" t="n">
        <x:v>1</x:v>
      </x:c>
      <x:c r="K103" s="52" t="n">
        <x:v>1</x:v>
      </x:c>
      <x:c r="L103" s="52" t="n">
        <x:v>213</x:v>
      </x:c>
      <x:c r="M103" s="52" t="n">
        <x:v>4</x:v>
      </x:c>
      <x:c r="N103" s="52" t="n">
        <x:v>217</x:v>
      </x:c>
      <x:c r="O103" s="52" t="n">
        <x:v>28</x:v>
      </x:c>
      <x:c r="P103" s="20" t="str">
        <x:v>PHP</x:v>
      </x:c>
      <x:c r="Q103" s="20" t="str">
        <x:v>Principal or sole recorded author</x:v>
      </x:c>
      <x:c r="R103" s="20" t="str">
        <x:v>Focused supporting implementation evidence</x:v>
      </x:c>
      <x:c r="S103" s="20" t="str">
        <x:v>Historical PHP utility for generating shareable links from an organised Dropbox audio collection.</x:v>
      </x:c>
      <x:c r="T103" s="20" t="str">
        <x:v>Small supporting example of media-publishing workflow automation.</x:v>
      </x:c>
      <x:c r="U103" s="20" t="str">
        <x:v>Canonical inclusion refreshed 28 July 2026. Contribution metrics are the identity-aware repository snapshot from 18 July 2026 and must not be summed across repositories.</x:v>
      </x:c>
      <x:c r="V103" s="16" t="str">
        <x:v>https://github.com/namibia/dropboxlinks</x:v>
      </x:c>
      <x:c r="W103" s="16" t="str">
        <x:v>https://github.com/namibia/dropboxlinks/commit/1361cc5b8b44850f9bf5f6692c268242566f8f8a</x:v>
      </x:c>
      <x:c r="X103" s="20" t="str">
        <x:v>extended</x:v>
      </x:c>
    </x:row>
    <x:row r="104" ht="72" hidden="0" customHeight="1">
      <x:c r="A104" s="27" t="n">
        <x:v>100</x:v>
      </x:c>
      <x:c r="B104" s="28" t="str">
        <x:v>Historical / Foundation</x:v>
      </x:c>
      <x:c r="C104" s="27" t="str">
        <x:v>Historical Namibian Joomla Applications</x:v>
      </x:c>
      <x:c r="D104" s="27" t="str">
        <x:v>namibia/ipdata-joomla-3-component</x:v>
      </x:c>
      <x:c r="E104" s="20" t="str">
        <x:v>namibia</x:v>
      </x:c>
      <x:c r="F104" s="51" t="n">
        <x:v>42007</x:v>
      </x:c>
      <x:c r="G104" s="51" t="n">
        <x:v>42768</x:v>
      </x:c>
      <x:c r="H104" s="20" t="str">
        <x:v>Historical contribution</x:v>
      </x:c>
      <x:c r="I104" s="52" t="n">
        <x:v>6</x:v>
      </x:c>
      <x:c r="J104" s="52" t="n">
        <x:v>5</x:v>
      </x:c>
      <x:c r="K104" s="52" t="n">
        <x:v>2</x:v>
      </x:c>
      <x:c r="L104" s="52" t="n">
        <x:v>173413</x:v>
      </x:c>
      <x:c r="M104" s="52" t="n">
        <x:v>64</x:v>
      </x:c>
      <x:c r="N104" s="52" t="n">
        <x:v>173477</x:v>
      </x:c>
      <x:c r="O104" s="52" t="n">
        <x:v>137</x:v>
      </x:c>
      <x:c r="P104" s="20" t="str">
        <x:v>PHP, HTML, JavaScript, XML, CSS/SCSS, SQL</x:v>
      </x:c>
      <x:c r="Q104" s="20" t="str">
        <x:v>Principal or sole recorded author</x:v>
      </x:c>
      <x:c r="R104" s="20" t="str">
        <x:v>Senior applied engineering evidence</x:v>
      </x:c>
      <x:c r="S104" s="20" t="str">
        <x:v>Historical Joomla 3 component for maintaining and presenting IP-related reference data; retained as a superseded application lineage.</x:v>
      </x:c>
      <x:c r="T104" s="20" t="str">
        <x:v>Documents earlier Joomla domain and database work without presenting the superseded application as current.</x:v>
      </x:c>
      <x:c r="U104" s="20" t="str">
        <x:v>Canonical inclusion refreshed 28 July 2026. Contribution metrics are the identity-aware repository snapshot from 18 July 2026 and must not be summed across repositories.</x:v>
      </x:c>
      <x:c r="V104" s="16" t="str">
        <x:v>https://github.com/namibia/ipdata-joomla-3-component</x:v>
      </x:c>
      <x:c r="W104" s="16" t="str">
        <x:v>https://github.com/namibia/ipdata-joomla-3-component/commit/3aff10b97aea4ef1f09cd5bc3e065bec8dbb7fb9</x:v>
      </x:c>
      <x:c r="X104" s="20" t="str">
        <x:v>extended</x:v>
      </x:c>
    </x:row>
    <x:row r="105" ht="72" hidden="0" customHeight="1">
      <x:c r="A105" s="27" t="n">
        <x:v>101</x:v>
      </x:c>
      <x:c r="B105" s="28" t="str">
        <x:v>Historical / Foundation</x:v>
      </x:c>
      <x:c r="C105" s="27" t="str">
        <x:v>Education &amp; C/C++ Foundations</x:v>
      </x:c>
      <x:c r="D105" s="27" t="str">
        <x:v>mychamplain/SDEV-240-81</x:v>
      </x:c>
      <x:c r="E105" s="20" t="str">
        <x:v>mychamplain</x:v>
      </x:c>
      <x:c r="F105" s="51" t="n">
        <x:v>43863</x:v>
      </x:c>
      <x:c r="G105" s="51" t="n">
        <x:v>43953</x:v>
      </x:c>
      <x:c r="H105" s="20" t="str">
        <x:v>Historical contribution</x:v>
      </x:c>
      <x:c r="I105" s="52" t="n">
        <x:v>8</x:v>
      </x:c>
      <x:c r="J105" s="52" t="n">
        <x:v>8</x:v>
      </x:c>
      <x:c r="K105" s="52" t="n">
        <x:v>3</x:v>
      </x:c>
      <x:c r="L105" s="52" t="n">
        <x:v>6864</x:v>
      </x:c>
      <x:c r="M105" s="52" t="n">
        <x:v>20</x:v>
      </x:c>
      <x:c r="N105" s="52" t="n">
        <x:v>6884</x:v>
      </x:c>
      <x:c r="O105" s="52" t="n">
        <x:v>49</x:v>
      </x:c>
      <x:c r="P105" s="20" t="str">
        <x:v>C++</x:v>
      </x:c>
      <x:c r="Q105" s="20" t="str">
        <x:v>Originator/maintainer of mirrored deliverable</x:v>
      </x:c>
      <x:c r="R105" s="20" t="str">
        <x:v>Foundational-to-intermediate academic implementation evidence</x:v>
      </x:c>
      <x:c r="S105" s="20" t="str">
        <x:v>Formal-study C++ repository covering intermediate software-development concepts and implementation exercises.</x:v>
      </x:c>
      <x:c r="T105" s="20" t="str">
        <x:v>Supports the documented C++ study and certification record with dated public coursework.</x:v>
      </x:c>
      <x:c r="U105" s="20" t="str">
        <x:v>Canonical inclusion refreshed 28 July 2026. Contribution metrics are the identity-aware repository snapshot from 18 July 2026 and must not be summed across repositories.</x:v>
      </x:c>
      <x:c r="V105" s="16" t="str">
        <x:v>https://github.com/mychamplain/SDEV-240-81</x:v>
      </x:c>
      <x:c r="W105" s="16" t="str">
        <x:v>https://github.com/mychamplain/SDEV-240-81/commit/826d4cd1f8ab2cebc376c3b8264cd58e000a7c46</x:v>
      </x:c>
      <x:c r="X105" s="20" t="str">
        <x:v>extended</x:v>
      </x:c>
    </x:row>
    <x:row r="106" ht="72" hidden="0" customHeight="1">
      <x:c r="A106" s="27" t="n">
        <x:v>102</x:v>
      </x:c>
      <x:c r="B106" s="28" t="str">
        <x:v>Historical / Foundation</x:v>
      </x:c>
      <x:c r="C106" s="27" t="str">
        <x:v>Education &amp; C/C++ Foundations</x:v>
      </x:c>
      <x:c r="D106" s="27" t="str">
        <x:v>mychamplain/SDEV-324-81</x:v>
      </x:c>
      <x:c r="E106" s="20" t="str">
        <x:v>mychamplain</x:v>
      </x:c>
      <x:c r="F106" s="51" t="n">
        <x:v>44086</x:v>
      </x:c>
      <x:c r="G106" s="51" t="n">
        <x:v>44183</x:v>
      </x:c>
      <x:c r="H106" s="20" t="str">
        <x:v>Historical contribution</x:v>
      </x:c>
      <x:c r="I106" s="52" t="n">
        <x:v>14</x:v>
      </x:c>
      <x:c r="J106" s="52" t="n">
        <x:v>14</x:v>
      </x:c>
      <x:c r="K106" s="52" t="n">
        <x:v>4</x:v>
      </x:c>
      <x:c r="L106" s="52" t="n">
        <x:v>5904</x:v>
      </x:c>
      <x:c r="M106" s="52" t="n">
        <x:v>0</x:v>
      </x:c>
      <x:c r="N106" s="52" t="n">
        <x:v>5904</x:v>
      </x:c>
      <x:c r="O106" s="52" t="n">
        <x:v>39</x:v>
      </x:c>
      <x:c r="P106" s="20" t="str">
        <x:v>C++</x:v>
      </x:c>
      <x:c r="Q106" s="20" t="str">
        <x:v>Originator/maintainer of mirrored deliverable</x:v>
      </x:c>
      <x:c r="R106" s="20" t="str">
        <x:v>Foundational-to-intermediate academic implementation evidence</x:v>
      </x:c>
      <x:c r="S106" s="20" t="str">
        <x:v>Formal-study C++ repository for advanced programming exercises and software-construction practice.</x:v>
      </x:c>
      <x:c r="T106" s="20" t="str">
        <x:v>Provides dated evidence of continued C++ development within the formal-study period.</x:v>
      </x:c>
      <x:c r="U106" s="20" t="str">
        <x:v>Canonical inclusion refreshed 28 July 2026. Contribution metrics are the identity-aware repository snapshot from 18 July 2026 and must not be summed across repositories.</x:v>
      </x:c>
      <x:c r="V106" s="16" t="str">
        <x:v>https://github.com/mychamplain/SDEV-324-81</x:v>
      </x:c>
      <x:c r="W106" s="16" t="str">
        <x:v>https://github.com/mychamplain/SDEV-324-81/commit/f91707048d767fc5fc72d05e22ae1f93ec538b11</x:v>
      </x:c>
      <x:c r="X106" s="20" t="str">
        <x:v>extended</x:v>
      </x:c>
    </x:row>
    <x:row r="107" ht="72" hidden="0" customHeight="1">
      <x:c r="A107" s="27" t="n">
        <x:v>103</x:v>
      </x:c>
      <x:c r="B107" s="28" t="str">
        <x:v>Historical / Foundation</x:v>
      </x:c>
      <x:c r="C107" s="27" t="str">
        <x:v>Education &amp; C/C++ Foundations</x:v>
      </x:c>
      <x:c r="D107" s="27" t="str">
        <x:v>mychamplain/SDEV-340-81</x:v>
      </x:c>
      <x:c r="E107" s="20" t="str">
        <x:v>mychamplain</x:v>
      </x:c>
      <x:c r="F107" s="51" t="n">
        <x:v>43967</x:v>
      </x:c>
      <x:c r="G107" s="51" t="n">
        <x:v>44060</x:v>
      </x:c>
      <x:c r="H107" s="20" t="str">
        <x:v>Historical contribution</x:v>
      </x:c>
      <x:c r="I107" s="52" t="n">
        <x:v>13</x:v>
      </x:c>
      <x:c r="J107" s="52" t="n">
        <x:v>13</x:v>
      </x:c>
      <x:c r="K107" s="52" t="n">
        <x:v>4</x:v>
      </x:c>
      <x:c r="L107" s="52" t="n">
        <x:v>21756</x:v>
      </x:c>
      <x:c r="M107" s="52" t="n">
        <x:v>0</x:v>
      </x:c>
      <x:c r="N107" s="52" t="n">
        <x:v>21756</x:v>
      </x:c>
      <x:c r="O107" s="52" t="n">
        <x:v>121</x:v>
      </x:c>
      <x:c r="P107" s="20" t="str">
        <x:v>C++, C</x:v>
      </x:c>
      <x:c r="Q107" s="20" t="str">
        <x:v>Originator/maintainer of mirrored deliverable</x:v>
      </x:c>
      <x:c r="R107" s="20" t="str">
        <x:v>Foundational-to-intermediate academic implementation evidence</x:v>
      </x:c>
      <x:c r="S107" s="20" t="str">
        <x:v>Formal-study C and C++ systems-programming repository.</x:v>
      </x:c>
      <x:c r="T107" s="20" t="str">
        <x:v>Supports the systems-programming foundation behind later native-integration work.</x:v>
      </x:c>
      <x:c r="U107" s="20" t="str">
        <x:v>Canonical inclusion refreshed 28 July 2026. Contribution metrics are the identity-aware repository snapshot from 18 July 2026 and must not be summed across repositories.</x:v>
      </x:c>
      <x:c r="V107" s="16" t="str">
        <x:v>https://github.com/mychamplain/SDEV-340-81</x:v>
      </x:c>
      <x:c r="W107" s="16" t="str">
        <x:v>https://github.com/mychamplain/SDEV-340-81/commit/43d6f2c6dc6c5c18515111b7b878e6add4b39872</x:v>
      </x:c>
      <x:c r="X107" s="20" t="str">
        <x:v>extended</x:v>
      </x:c>
    </x:row>
    <x:row r="108" ht="72" hidden="0" customHeight="1">
      <x:c r="A108" s="27" t="n">
        <x:v>104</x:v>
      </x:c>
      <x:c r="B108" s="28" t="str">
        <x:v>Historical / Foundation</x:v>
      </x:c>
      <x:c r="C108" s="27" t="str">
        <x:v>Education &amp; C/C++ Foundations</x:v>
      </x:c>
      <x:c r="D108" s="27" t="str">
        <x:v>mychamplain/SDEV-415-81</x:v>
      </x:c>
      <x:c r="E108" s="20" t="str">
        <x:v>mychamplain</x:v>
      </x:c>
      <x:c r="F108" s="51" t="n">
        <x:v>44093</x:v>
      </x:c>
      <x:c r="G108" s="51" t="n">
        <x:v>44182</x:v>
      </x:c>
      <x:c r="H108" s="20" t="str">
        <x:v>Historical contribution</x:v>
      </x:c>
      <x:c r="I108" s="52" t="n">
        <x:v>10</x:v>
      </x:c>
      <x:c r="J108" s="52" t="n">
        <x:v>10</x:v>
      </x:c>
      <x:c r="K108" s="52" t="n">
        <x:v>4</x:v>
      </x:c>
      <x:c r="L108" s="52" t="n">
        <x:v>11599</x:v>
      </x:c>
      <x:c r="M108" s="52" t="n">
        <x:v>0</x:v>
      </x:c>
      <x:c r="N108" s="52" t="n">
        <x:v>11599</x:v>
      </x:c>
      <x:c r="O108" s="52" t="n">
        <x:v>64</x:v>
      </x:c>
      <x:c r="P108" s="20" t="str">
        <x:v>Shell/Bash, C</x:v>
      </x:c>
      <x:c r="Q108" s="20" t="str">
        <x:v>Originator/maintainer of mirrored deliverable</x:v>
      </x:c>
      <x:c r="R108" s="20" t="str">
        <x:v>Foundational-to-intermediate academic implementation evidence</x:v>
      </x:c>
      <x:c r="S108" s="20" t="str">
        <x:v>Formal-study C and Bash repository focused on software-development and systems-oriented implementation.</x:v>
      </x:c>
      <x:c r="T108" s="20" t="str">
        <x:v>Connects formal software study with the command-line and systems skills visible in later operational tooling.</x:v>
      </x:c>
      <x:c r="U108" s="20" t="str">
        <x:v>Canonical inclusion refreshed 28 July 2026. Contribution metrics are the identity-aware repository snapshot from 18 July 2026 and must not be summed across repositories.</x:v>
      </x:c>
      <x:c r="V108" s="16" t="str">
        <x:v>https://github.com/mychamplain/SDEV-415-81</x:v>
      </x:c>
      <x:c r="W108" s="16" t="str">
        <x:v>https://github.com/mychamplain/SDEV-415-81/commit/77c107ff99739b3e9db6e23913e8fe3dda9c1a46</x:v>
      </x:c>
      <x:c r="X108" s="20" t="str">
        <x:v>extended</x:v>
      </x:c>
    </x:row>
    <x:row r="109" ht="72" hidden="0" customHeight="1">
      <x:c r="A109" s="27" t="n">
        <x:v>105</x:v>
      </x:c>
      <x:c r="B109" s="28" t="str">
        <x:v>Historical / Foundation</x:v>
      </x:c>
      <x:c r="C109" s="27" t="str">
        <x:v>Education &amp; C/C++ Foundations</x:v>
      </x:c>
      <x:c r="D109" s="27" t="str">
        <x:v>mychamplain/WEBD-125-40</x:v>
      </x:c>
      <x:c r="E109" s="20" t="str">
        <x:v>mychamplain</x:v>
      </x:c>
      <x:c r="F109" s="51" t="n">
        <x:v>44443</x:v>
      </x:c>
      <x:c r="G109" s="51" t="n">
        <x:v>44483</x:v>
      </x:c>
      <x:c r="H109" s="20" t="str">
        <x:v>Historical contribution</x:v>
      </x:c>
      <x:c r="I109" s="52" t="n">
        <x:v>7</x:v>
      </x:c>
      <x:c r="J109" s="52" t="n">
        <x:v>7</x:v>
      </x:c>
      <x:c r="K109" s="52" t="n">
        <x:v>2</x:v>
      </x:c>
      <x:c r="L109" s="52" t="n">
        <x:v>3141</x:v>
      </x:c>
      <x:c r="M109" s="52" t="n">
        <x:v>0</x:v>
      </x:c>
      <x:c r="N109" s="52" t="n">
        <x:v>3141</x:v>
      </x:c>
      <x:c r="O109" s="52" t="n">
        <x:v>35</x:v>
      </x:c>
      <x:c r="P109" s="20" t="str">
        <x:v>HTML, CSS/SCSS</x:v>
      </x:c>
      <x:c r="Q109" s="20" t="str">
        <x:v>Originator/maintainer of mirrored deliverable</x:v>
      </x:c>
      <x:c r="R109" s="20" t="str">
        <x:v>Foundational-to-intermediate academic implementation evidence</x:v>
      </x:c>
      <x:c r="S109" s="20" t="str">
        <x:v>Formal-study HTML and CSS repository covering foundational standards-based web presentation.</x:v>
      </x:c>
      <x:c r="T109" s="20" t="str">
        <x:v>Documents the interface and web-development foundation of the broader application-engineering record.</x:v>
      </x:c>
      <x:c r="U109" s="20" t="str">
        <x:v>Canonical inclusion refreshed 28 July 2026. Contribution metrics are the identity-aware repository snapshot from 18 July 2026 and must not be summed across repositories.</x:v>
      </x:c>
      <x:c r="V109" s="16" t="str">
        <x:v>https://github.com/mychamplain/WEBD-125-40</x:v>
      </x:c>
      <x:c r="W109" s="16" t="str">
        <x:v>https://github.com/mychamplain/WEBD-125-40/commit/315da22a502ae38098d4eba0bfeb44ca557821c9</x:v>
      </x:c>
      <x:c r="X109" s="20" t="str">
        <x:v>extended</x:v>
      </x:c>
    </x:row>
    <x:row r="110" ht="72" hidden="0" customHeight="1">
      <x:c r="A110" s="27" t="n">
        <x:v>106</x:v>
      </x:c>
      <x:c r="B110" s="28" t="str">
        <x:v>Historical / Foundation</x:v>
      </x:c>
      <x:c r="C110" s="27" t="str">
        <x:v>Education &amp; C/C++ Foundations</x:v>
      </x:c>
      <x:c r="D110" s="27" t="str">
        <x:v>mychamplain/WEBD-225-40</x:v>
      </x:c>
      <x:c r="E110" s="20" t="str">
        <x:v>mychamplain</x:v>
      </x:c>
      <x:c r="F110" s="51" t="n">
        <x:v>44583</x:v>
      </x:c>
      <x:c r="G110" s="51" t="n">
        <x:v>44625</x:v>
      </x:c>
      <x:c r="H110" s="20" t="str">
        <x:v>Historical contribution</x:v>
      </x:c>
      <x:c r="I110" s="52" t="n">
        <x:v>8</x:v>
      </x:c>
      <x:c r="J110" s="52" t="n">
        <x:v>8</x:v>
      </x:c>
      <x:c r="K110" s="52" t="n">
        <x:v>3</x:v>
      </x:c>
      <x:c r="L110" s="52" t="n">
        <x:v>2593</x:v>
      </x:c>
      <x:c r="M110" s="52" t="n">
        <x:v>754</x:v>
      </x:c>
      <x:c r="N110" s="52" t="n">
        <x:v>3347</x:v>
      </x:c>
      <x:c r="O110" s="52" t="n">
        <x:v>34</x:v>
      </x:c>
      <x:c r="P110" s="20" t="str">
        <x:v>HTML, CSS/SCSS, JavaScript</x:v>
      </x:c>
      <x:c r="Q110" s="20" t="str">
        <x:v>Originator/maintainer of mirrored deliverable</x:v>
      </x:c>
      <x:c r="R110" s="20" t="str">
        <x:v>Foundational-to-intermediate academic implementation evidence</x:v>
      </x:c>
      <x:c r="S110" s="20" t="str">
        <x:v>Formal-study front-end repository combining HTML, CSS and JavaScript application work.</x:v>
      </x:c>
      <x:c r="T110" s="20" t="str">
        <x:v>Provides dated evidence of browser-facing development within the degree-study period.</x:v>
      </x:c>
      <x:c r="U110" s="20" t="str">
        <x:v>Canonical inclusion refreshed 28 July 2026. Contribution metrics are the identity-aware repository snapshot from 18 July 2026 and must not be summed across repositories.</x:v>
      </x:c>
      <x:c r="V110" s="16" t="str">
        <x:v>https://github.com/mychamplain/WEBD-225-40</x:v>
      </x:c>
      <x:c r="W110" s="16" t="str">
        <x:v>https://github.com/mychamplain/WEBD-225-40/commit/9fc02178fd42ce4eddd25daf5b47ed8f24ca13cd</x:v>
      </x:c>
      <x:c r="X110" s="20" t="str">
        <x:v>extended</x:v>
      </x:c>
    </x:row>
    <x:row r="111" ht="72" hidden="0" customHeight="1">
      <x:c r="A111" s="27" t="n">
        <x:v>107</x:v>
      </x:c>
      <x:c r="B111" s="28" t="str">
        <x:v>Historical / Foundation</x:v>
      </x:c>
      <x:c r="C111" s="27" t="str">
        <x:v>Education &amp; C/C++ Foundations</x:v>
      </x:c>
      <x:c r="D111" s="27" t="str">
        <x:v>mychamplain/WEBD-310-45</x:v>
      </x:c>
      <x:c r="E111" s="20" t="str">
        <x:v>mychamplain</x:v>
      </x:c>
      <x:c r="F111" s="51" t="n">
        <x:v>44499</x:v>
      </x:c>
      <x:c r="G111" s="51" t="n">
        <x:v>44548</x:v>
      </x:c>
      <x:c r="H111" s="20" t="str">
        <x:v>Historical contribution</x:v>
      </x:c>
      <x:c r="I111" s="52" t="n">
        <x:v>6</x:v>
      </x:c>
      <x:c r="J111" s="52" t="n">
        <x:v>6</x:v>
      </x:c>
      <x:c r="K111" s="52" t="n">
        <x:v>3</x:v>
      </x:c>
      <x:c r="L111" s="52" t="n">
        <x:v>3232</x:v>
      </x:c>
      <x:c r="M111" s="52" t="n">
        <x:v>0</x:v>
      </x:c>
      <x:c r="N111" s="52" t="n">
        <x:v>3232</x:v>
      </x:c>
      <x:c r="O111" s="52" t="n">
        <x:v>21</x:v>
      </x:c>
      <x:c r="P111" s="20" t="str">
        <x:v>PHP, HTML, SQL</x:v>
      </x:c>
      <x:c r="Q111" s="20" t="str">
        <x:v>Originator/maintainer of mirrored deliverable</x:v>
      </x:c>
      <x:c r="R111" s="20" t="str">
        <x:v>Foundational-to-intermediate academic implementation evidence</x:v>
      </x:c>
      <x:c r="S111" s="20" t="str">
        <x:v>Formal-study PHP, SQL and HTML repository covering server-side web application development.</x:v>
      </x:c>
      <x:c r="T111" s="20" t="str">
        <x:v>Reinforces the documented PHP and relational-data study underlying the professional platform work.</x:v>
      </x:c>
      <x:c r="U111" s="20" t="str">
        <x:v>Canonical inclusion refreshed 28 July 2026. Contribution metrics are the identity-aware repository snapshot from 18 July 2026 and must not be summed across repositories.</x:v>
      </x:c>
      <x:c r="V111" s="16" t="str">
        <x:v>https://github.com/mychamplain/WEBD-310-45</x:v>
      </x:c>
      <x:c r="W111" s="16" t="str">
        <x:v>https://github.com/mychamplain/WEBD-310-45/commit/2845b09ddd29ad7417148cce86127afe9d7981dd</x:v>
      </x:c>
      <x:c r="X111" s="20" t="str">
        <x:v>extended</x:v>
      </x:c>
    </x:row>
    <x:row r="112" ht="72" hidden="0" customHeight="1">
      <x:c r="A112" s="27" t="n">
        <x:v>108</x:v>
      </x:c>
      <x:c r="B112" s="28" t="str">
        <x:v>Historical / Foundation</x:v>
      </x:c>
      <x:c r="C112" s="27" t="str">
        <x:v>Education &amp; C/C++ Foundations</x:v>
      </x:c>
      <x:c r="D112" s="27" t="str">
        <x:v>mychamplain/WEBD-325-45</x:v>
      </x:c>
      <x:c r="E112" s="20" t="str">
        <x:v>mychamplain</x:v>
      </x:c>
      <x:c r="F112" s="51" t="n">
        <x:v>44646</x:v>
      </x:c>
      <x:c r="G112" s="51" t="n">
        <x:v>44687</x:v>
      </x:c>
      <x:c r="H112" s="20" t="str">
        <x:v>Historical contribution</x:v>
      </x:c>
      <x:c r="I112" s="52" t="n">
        <x:v>18</x:v>
      </x:c>
      <x:c r="J112" s="52" t="n">
        <x:v>11</x:v>
      </x:c>
      <x:c r="K112" s="52" t="n">
        <x:v>3</x:v>
      </x:c>
      <x:c r="L112" s="52" t="n">
        <x:v>506256</x:v>
      </x:c>
      <x:c r="M112" s="52" t="n">
        <x:v>149656</x:v>
      </x:c>
      <x:c r="N112" s="52" t="n">
        <x:v>655912</x:v>
      </x:c>
      <x:c r="O112" s="52" t="n">
        <x:v>1019</x:v>
      </x:c>
      <x:c r="P112" s="20" t="str">
        <x:v>PHP, HTML, CSS/SCSS, JavaScript, SQL</x:v>
      </x:c>
      <x:c r="Q112" s="20" t="str">
        <x:v>Originator/maintainer of mirrored deliverable</x:v>
      </x:c>
      <x:c r="R112" s="20" t="str">
        <x:v>Foundational-to-intermediate academic implementation evidence</x:v>
      </x:c>
      <x:c r="S112" s="20" t="str">
        <x:v>Formal-study full-stack web repository using PHP, SQL, HTML, CSS and JavaScript.</x:v>
      </x:c>
      <x:c r="T112" s="20" t="str">
        <x:v>Documents integrated application, data and interface work during the degree-study period.</x:v>
      </x:c>
      <x:c r="U112" s="20" t="str">
        <x:v>Canonical inclusion refreshed 28 July 2026. Contribution metrics are the identity-aware repository snapshot from 18 July 2026 and must not be summed across repositories.</x:v>
      </x:c>
      <x:c r="V112" s="16" t="str">
        <x:v>https://github.com/mychamplain/WEBD-325-45</x:v>
      </x:c>
      <x:c r="W112" s="16" t="str">
        <x:v>https://github.com/mychamplain/WEBD-325-45/commit/b42071a44f132ff00208caa9f03140d80e4f8d67</x:v>
      </x:c>
      <x:c r="X112" s="20" t="str">
        <x:v>extended</x:v>
      </x:c>
    </x:row>
    <x:row r="113" ht="72" hidden="0" customHeight="1">
      <x:c r="A113"/>
      <x:c r="B113"/>
      <x:c r="C113"/>
      <x:c r="D113"/>
      <x:c r="E113"/>
      <x:c r="F113"/>
      <x:c r="G113"/>
      <x:c r="H113"/>
      <x:c r="I113"/>
      <x:c r="J113"/>
      <x:c r="K113"/>
      <x:c r="L113"/>
      <x:c r="M113"/>
      <x:c r="N113"/>
      <x:c r="O113"/>
      <x:c r="P113"/>
      <x:c r="Q113"/>
      <x:c r="R113"/>
      <x:c r="S113"/>
      <x:c r="T113"/>
      <x:c r="U113"/>
      <x:c r="V113"/>
      <x:c r="W113"/>
      <x:c r="X113"/>
    </x:row>
  </x:sheetData>
  <x:mergeCells>
    <x:mergeCell ref="A1:X1"/>
    <x:mergeCell ref="A2:X2"/>
  </x:mergeCells>
  <x:pageMargins left="0.7" right="0.7" top="0.75" bottom="0.75" header="0.3" footer="0.3"/>
  <x:tableParts count="1">
    <x:tablePart xmlns:r="http://schemas.openxmlformats.org/officeDocument/2006/relationships" r:id="Re2f20b3fc0074c23"/>
  </x:tableParts>
</x:worksheet>
</file>

<file path=xl/worksheets/sheet4.xml><?xml version="1.0" encoding="utf-8"?>
<x:worksheet xmlns:x="http://schemas.openxmlformats.org/spreadsheetml/2006/main">
  <x:sheetViews>
    <x:sheetView showGridLines="1" workbookViewId="0"/>
  </x:sheetViews>
  <x:sheetFormatPr defaultColWidth="9.7578125" defaultRowHeight="15"/>
  <x:cols>
    <x:col min="1" max="1" width="43.13999938964844" hidden="0" customWidth="1"/>
    <x:col min="2" max="2" width="15.890000343322754" hidden="0" customWidth="1"/>
    <x:col min="3" max="4" width="11.350000381469727" hidden="0" customWidth="1"/>
    <x:col min="5" max="5" width="13.619999885559082" hidden="0" customWidth="1"/>
    <x:col min="6" max="6" width="22.700000762939453" hidden="0" customWidth="1"/>
    <x:col min="7" max="7" width="18.15999984741211" hidden="0" customWidth="1"/>
    <x:col min="8" max="8" width="3.4100000858306885" hidden="0" customWidth="1"/>
    <x:col min="9" max="9" width="30.649999618530273" hidden="0" customWidth="1"/>
    <x:col min="10" max="10" width="15.890000343322754" hidden="0" customWidth="1"/>
    <x:col min="11" max="12" width="11.350000381469727" hidden="0" customWidth="1"/>
    <x:col min="13" max="13" width="13.619999885559082" hidden="0" customWidth="1"/>
    <x:col min="14" max="14" width="22.700000762939453" hidden="0" customWidth="1"/>
  </x:cols>
  <x:sheetData>
    <x:row r="1" ht="32" hidden="0" customHeight="1">
      <x:c r="A1" s="14" t="s">
        <x:v>42</x:v>
      </x:c>
      <x:c r="B1" s="14"/>
      <x:c r="C1" s="14"/>
      <x:c r="D1" s="14"/>
      <x:c r="E1" s="14"/>
      <x:c r="F1" s="14"/>
      <x:c r="G1" s="14"/>
      <x:c r="H1" s="14"/>
      <x:c r="I1" s="14"/>
      <x:c r="J1" s="14"/>
      <x:c r="K1" s="14"/>
      <x:c r="L1" s="14"/>
      <x:c r="M1" s="14"/>
      <x:c r="N1" s="14"/>
    </x:row>
    <x:row r="2" ht="30" hidden="0" customHeight="1">
      <x:c r="A2" s="2" t="s">
        <x:v>43</x:v>
      </x:c>
      <x:c r="B2" s="2"/>
      <x:c r="C2" s="2"/>
      <x:c r="D2" s="2"/>
      <x:c r="E2" s="2"/>
      <x:c r="F2" s="2"/>
      <x:c r="G2" s="2"/>
      <x:c r="H2" s="2"/>
      <x:c r="I2" s="2"/>
      <x:c r="J2" s="2"/>
      <x:c r="K2" s="2"/>
      <x:c r="L2" s="2"/>
      <x:c r="M2" s="2"/>
      <x:c r="N2" s="2"/>
    </x:row>
    <x:row r="3" ht="15" hidden="0">
      <x:c r="A3" s="3"/>
      <x:c r="B3" s="3"/>
      <x:c r="C3" s="3"/>
      <x:c r="D3" s="3"/>
      <x:c r="E3" s="3"/>
      <x:c r="F3" s="3"/>
      <x:c r="G3" s="3"/>
      <x:c r="H3" s="3"/>
      <x:c r="I3" s="3"/>
      <x:c r="J3" s="3"/>
      <x:c r="K3" s="3"/>
      <x:c r="L3" s="3"/>
      <x:c r="M3" s="3"/>
      <x:c r="N3" s="3"/>
    </x:row>
    <x:row r="4" ht="30" hidden="0" customHeight="1">
      <x:c r="A4" s="13" t="s">
        <x:v>44</x:v>
      </x:c>
      <x:c r="B4" s="13"/>
      <x:c r="C4" s="13"/>
      <x:c r="D4" s="13"/>
      <x:c r="E4" s="13"/>
      <x:c r="F4" s="13"/>
      <x:c r="G4" s="13"/>
      <x:c r="H4" s="3"/>
      <x:c r="I4" s="29" t="s">
        <x:v>45</x:v>
      </x:c>
      <x:c r="J4" s="29"/>
      <x:c r="K4" s="29"/>
      <x:c r="L4" s="29"/>
      <x:c r="M4" s="29"/>
      <x:c r="N4" s="29"/>
    </x:row>
    <x:row r="5" ht="30" hidden="0" customHeight="1">
      <x:c r="A5" s="15" t="s">
        <x:v>7</x:v>
      </x:c>
      <x:c r="B5" s="15" t="s">
        <x:v>46</x:v>
      </x:c>
      <x:c r="C5" s="15" t="s">
        <x:v>47</x:v>
      </x:c>
      <x:c r="D5" s="15" t="s">
        <x:v>48</x:v>
      </x:c>
      <x:c r="E5" s="15" t="s">
        <x:v>49</x:v>
      </x:c>
      <x:c r="F5" s="15" t="s">
        <x:v>50</x:v>
      </x:c>
      <x:c r="G5" s="15" t="s">
        <x:v>51</x:v>
      </x:c>
      <x:c r="H5" s="3"/>
      <x:c r="I5" s="15" t="s">
        <x:v>52</x:v>
      </x:c>
      <x:c r="J5" s="15" t="s">
        <x:v>46</x:v>
      </x:c>
      <x:c r="K5" s="15" t="s">
        <x:v>47</x:v>
      </x:c>
      <x:c r="L5" s="15" t="s">
        <x:v>48</x:v>
      </x:c>
      <x:c r="M5" s="15" t="s">
        <x:v>49</x:v>
      </x:c>
      <x:c r="N5" s="15" t="s">
        <x:v>50</x:v>
      </x:c>
    </x:row>
    <x:row r="6" ht="27" hidden="0" customHeight="1">
      <x:c r="A6" s="11" t="str">
        <x:v>GetBible Scripture Platform</x:v>
      </x:c>
      <x:c r="B6" s="30" t="n">
        <x:v>24</x:v>
      </x:c>
      <x:c r="C6" s="30" t="n">
        <x:v>5</x:v>
      </x:c>
      <x:c r="D6" s="30" t="n">
        <x:v>8</x:v>
      </x:c>
      <x:c r="E6" s="30" t="n">
        <x:v>3</x:v>
      </x:c>
      <x:c r="F6" s="30" t="n">
        <x:v>8</x:v>
      </x:c>
      <x:c r="G6" s="30" t="n">
        <x:v>15</x:v>
      </x:c>
      <x:c r="H6" s="3"/>
      <x:c r="I6" s="11" t="str">
        <x:v>getbible</x:v>
      </x:c>
      <x:c r="J6" s="30" t="n">
        <x:v>24</x:v>
      </x:c>
      <x:c r="K6" s="30" t="n">
        <x:v>5</x:v>
      </x:c>
      <x:c r="L6" s="30" t="n">
        <x:v>8</x:v>
      </x:c>
      <x:c r="M6" s="30" t="n">
        <x:v>3</x:v>
      </x:c>
      <x:c r="N6" s="30" t="n">
        <x:v>8</x:v>
      </x:c>
    </x:row>
    <x:row r="7" ht="27" hidden="0" customHeight="1">
      <x:c r="A7" s="11" t="str">
        <x:v>Joomla Component Builder &amp; JoomEngine</x:v>
      </x:c>
      <x:c r="B7" s="30" t="n">
        <x:v>20</x:v>
      </x:c>
      <x:c r="C7" s="30" t="n">
        <x:v>1</x:v>
      </x:c>
      <x:c r="D7" s="30" t="n">
        <x:v>6</x:v>
      </x:c>
      <x:c r="E7" s="30" t="n">
        <x:v>13</x:v>
      </x:c>
      <x:c r="F7" s="30" t="n">
        <x:v>0</x:v>
      </x:c>
      <x:c r="G7" s="30" t="n">
        <x:v>20</x:v>
      </x:c>
      <x:c r="H7" s="3"/>
      <x:c r="I7" s="11" t="str">
        <x:v>joomengine</x:v>
      </x:c>
      <x:c r="J7" s="30" t="n">
        <x:v>21</x:v>
      </x:c>
      <x:c r="K7" s="30" t="n">
        <x:v>2</x:v>
      </x:c>
      <x:c r="L7" s="30" t="n">
        <x:v>6</x:v>
      </x:c>
      <x:c r="M7" s="30" t="n">
        <x:v>13</x:v>
      </x:c>
      <x:c r="N7" s="30" t="n">
        <x:v>0</x:v>
      </x:c>
    </x:row>
    <x:row r="8" ht="27" hidden="0" customHeight="1">
      <x:c r="A8" s="11" t="str">
        <x:v>OctoLeo Automation &amp; Deployment</x:v>
      </x:c>
      <x:c r="B8" s="30" t="n">
        <x:v>13</x:v>
      </x:c>
      <x:c r="C8" s="30" t="n">
        <x:v>2</x:v>
      </x:c>
      <x:c r="D8" s="30" t="n">
        <x:v>5</x:v>
      </x:c>
      <x:c r="E8" s="30" t="n">
        <x:v>5</x:v>
      </x:c>
      <x:c r="F8" s="30" t="n">
        <x:v>1</x:v>
      </x:c>
      <x:c r="G8" s="30" t="n">
        <x:v>9</x:v>
      </x:c>
      <x:c r="H8" s="3"/>
      <x:c r="I8" s="11" t="str">
        <x:v>Llewellynvdm</x:v>
      </x:c>
      <x:c r="J8" s="30" t="n">
        <x:v>19</x:v>
      </x:c>
      <x:c r="K8" s="30" t="n">
        <x:v>0</x:v>
      </x:c>
      <x:c r="L8" s="30" t="n">
        <x:v>2</x:v>
      </x:c>
      <x:c r="M8" s="30" t="n">
        <x:v>7</x:v>
      </x:c>
      <x:c r="N8" s="30" t="n">
        <x:v>10</x:v>
      </x:c>
    </x:row>
    <x:row r="9" ht="27" hidden="0" customHeight="1">
      <x:c r="A9" s="11" t="str">
        <x:v>Joomla Applications &amp; Tooling</x:v>
      </x:c>
      <x:c r="B9" s="30" t="n">
        <x:v>13</x:v>
      </x:c>
      <x:c r="C9" s="30" t="n">
        <x:v>0</x:v>
      </x:c>
      <x:c r="D9" s="30" t="n">
        <x:v>2</x:v>
      </x:c>
      <x:c r="E9" s="30" t="n">
        <x:v>4</x:v>
      </x:c>
      <x:c r="F9" s="30" t="n">
        <x:v>7</x:v>
      </x:c>
      <x:c r="G9" s="30" t="n">
        <x:v>0</x:v>
      </x:c>
      <x:c r="H9" s="3"/>
      <x:c r="I9" s="11" t="str">
        <x:v>octoleo</x:v>
      </x:c>
      <x:c r="J9" s="30" t="n">
        <x:v>13</x:v>
      </x:c>
      <x:c r="K9" s="30" t="n">
        <x:v>2</x:v>
      </x:c>
      <x:c r="L9" s="30" t="n">
        <x:v>5</x:v>
      </x:c>
      <x:c r="M9" s="30" t="n">
        <x:v>5</x:v>
      </x:c>
      <x:c r="N9" s="30" t="n">
        <x:v>1</x:v>
      </x:c>
    </x:row>
    <x:row r="10" ht="27" hidden="0" customHeight="1">
      <x:c r="A10" s="11" t="str">
        <x:v>Education &amp; C/C++ Foundations</x:v>
      </x:c>
      <x:c r="B10" s="30" t="n">
        <x:v>10</x:v>
      </x:c>
      <x:c r="C10" s="30" t="n">
        <x:v>0</x:v>
      </x:c>
      <x:c r="D10" s="30" t="n">
        <x:v>0</x:v>
      </x:c>
      <x:c r="E10" s="30" t="n">
        <x:v>1</x:v>
      </x:c>
      <x:c r="F10" s="30" t="n">
        <x:v>9</x:v>
      </x:c>
      <x:c r="G10" s="30" t="n">
        <x:v>0</x:v>
      </x:c>
      <x:c r="H10" s="3"/>
      <x:c r="I10" s="11" t="str">
        <x:v>vdm-io</x:v>
      </x:c>
      <x:c r="J10" s="30" t="n">
        <x:v>8</x:v>
      </x:c>
      <x:c r="K10" s="30" t="n">
        <x:v>0</x:v>
      </x:c>
      <x:c r="L10" s="30" t="n">
        <x:v>0</x:v>
      </x:c>
      <x:c r="M10" s="30" t="n">
        <x:v>2</x:v>
      </x:c>
      <x:c r="N10" s="30" t="n">
        <x:v>6</x:v>
      </x:c>
    </x:row>
    <x:row r="11" ht="27" hidden="0" customHeight="1">
      <x:c r="A11" s="11" t="str">
        <x:v>Historical VDM / Joomla Public Estate</x:v>
      </x:c>
      <x:c r="B11" s="30" t="n">
        <x:v>8</x:v>
      </x:c>
      <x:c r="C11" s="30" t="n">
        <x:v>0</x:v>
      </x:c>
      <x:c r="D11" s="30" t="n">
        <x:v>0</x:v>
      </x:c>
      <x:c r="E11" s="30" t="n">
        <x:v>2</x:v>
      </x:c>
      <x:c r="F11" s="30" t="n">
        <x:v>6</x:v>
      </x:c>
      <x:c r="G11" s="30" t="n">
        <x:v>1</x:v>
      </x:c>
      <x:c r="H11" s="3"/>
      <x:c r="I11" s="11" t="str">
        <x:v>mychamplain</x:v>
      </x:c>
      <x:c r="J11" s="30" t="n">
        <x:v>8</x:v>
      </x:c>
      <x:c r="K11" s="30" t="n">
        <x:v>0</x:v>
      </x:c>
      <x:c r="L11" s="30" t="n">
        <x:v>0</x:v>
      </x:c>
      <x:c r="M11" s="30" t="n">
        <x:v>0</x:v>
      </x:c>
      <x:c r="N11" s="30" t="n">
        <x:v>8</x:v>
      </x:c>
    </x:row>
    <x:row r="12" ht="27" hidden="0" customHeight="1">
      <x:c r="A12" s="11" t="str">
        <x:v>Christian Publishing &amp; Ministry Systems</x:v>
      </x:c>
      <x:c r="B12" s="30" t="n">
        <x:v>6</x:v>
      </x:c>
      <x:c r="C12" s="30" t="n">
        <x:v>0</x:v>
      </x:c>
      <x:c r="D12" s="30" t="n">
        <x:v>2</x:v>
      </x:c>
      <x:c r="E12" s="30" t="n">
        <x:v>4</x:v>
      </x:c>
      <x:c r="F12" s="30" t="n">
        <x:v>0</x:v>
      </x:c>
      <x:c r="G12" s="30" t="n">
        <x:v>6</x:v>
      </x:c>
      <x:c r="H12" s="3"/>
      <x:c r="I12" s="11" t="str">
        <x:v>trueChristian</x:v>
      </x:c>
      <x:c r="J12" s="30" t="n">
        <x:v>6</x:v>
      </x:c>
      <x:c r="K12" s="30" t="n">
        <x:v>0</x:v>
      </x:c>
      <x:c r="L12" s="30" t="n">
        <x:v>2</x:v>
      </x:c>
      <x:c r="M12" s="30" t="n">
        <x:v>4</x:v>
      </x:c>
      <x:c r="N12" s="30" t="n">
        <x:v>0</x:v>
      </x:c>
    </x:row>
    <x:row r="13" ht="27" hidden="0" customHeight="1">
      <x:c r="A13" s="11" t="str">
        <x:v>Historical Namibian Joomla Applications</x:v>
      </x:c>
      <x:c r="B13" s="30" t="n">
        <x:v>4</x:v>
      </x:c>
      <x:c r="C13" s="30" t="n">
        <x:v>0</x:v>
      </x:c>
      <x:c r="D13" s="30" t="n">
        <x:v>0</x:v>
      </x:c>
      <x:c r="E13" s="30" t="n">
        <x:v>1</x:v>
      </x:c>
      <x:c r="F13" s="30" t="n">
        <x:v>3</x:v>
      </x:c>
      <x:c r="G13" s="30" t="n">
        <x:v>0</x:v>
      </x:c>
      <x:c r="H13" s="3"/>
      <x:c r="I13" s="11" t="str">
        <x:v>namibia</x:v>
      </x:c>
      <x:c r="J13" s="30" t="n">
        <x:v>4</x:v>
      </x:c>
      <x:c r="K13" s="30" t="n">
        <x:v>0</x:v>
      </x:c>
      <x:c r="L13" s="30" t="n">
        <x:v>0</x:v>
      </x:c>
      <x:c r="M13" s="30" t="n">
        <x:v>1</x:v>
      </x:c>
      <x:c r="N13" s="30" t="n">
        <x:v>3</x:v>
      </x:c>
    </x:row>
    <x:row r="14" ht="27" hidden="0" customHeight="1">
      <x:c r="A14" s="11" t="str">
        <x:v>Personal Operations &amp; Automation</x:v>
      </x:c>
      <x:c r="B14" s="30" t="n">
        <x:v>3</x:v>
      </x:c>
      <x:c r="C14" s="30" t="n">
        <x:v>0</x:v>
      </x:c>
      <x:c r="D14" s="30" t="n">
        <x:v>0</x:v>
      </x:c>
      <x:c r="E14" s="30" t="n">
        <x:v>1</x:v>
      </x:c>
      <x:c r="F14" s="30" t="n">
        <x:v>2</x:v>
      </x:c>
      <x:c r="G14" s="30" t="n">
        <x:v>0</x:v>
      </x:c>
      <x:c r="H14" s="3"/>
      <x:c r="I14" s="11" t="str">
        <x:v>vast-development-method</x:v>
      </x:c>
      <x:c r="J14" s="30" t="n">
        <x:v>2</x:v>
      </x:c>
      <x:c r="K14" s="30" t="n">
        <x:v>2</x:v>
      </x:c>
      <x:c r="L14" s="30" t="n">
        <x:v>0</x:v>
      </x:c>
      <x:c r="M14" s="30" t="n">
        <x:v>0</x:v>
      </x:c>
      <x:c r="N14" s="30" t="n">
        <x:v>0</x:v>
      </x:c>
    </x:row>
    <x:row r="15" ht="27" hidden="0" customHeight="1">
      <x:c r="A15" s="11" t="str">
        <x:v>VDM Platforms &amp; Applied AI</x:v>
      </x:c>
      <x:c r="B15" s="30" t="n">
        <x:v>2</x:v>
      </x:c>
      <x:c r="C15" s="30" t="n">
        <x:v>2</x:v>
      </x:c>
      <x:c r="D15" s="30" t="n">
        <x:v>0</x:v>
      </x:c>
      <x:c r="E15" s="30" t="n">
        <x:v>0</x:v>
      </x:c>
      <x:c r="F15" s="30" t="n">
        <x:v>0</x:v>
      </x:c>
      <x:c r="G15" s="30" t="n">
        <x:v>2</x:v>
      </x:c>
      <x:c r="H15" s="3"/>
      <x:c r="I15" s="11" t="str">
        <x:v>Kumwe</x:v>
      </x:c>
      <x:c r="J15" s="30" t="n">
        <x:v>1</x:v>
      </x:c>
      <x:c r="K15" s="30" t="n">
        <x:v>1</x:v>
      </x:c>
      <x:c r="L15" s="30" t="n">
        <x:v>0</x:v>
      </x:c>
      <x:c r="M15" s="30" t="n">
        <x:v>0</x:v>
      </x:c>
      <x:c r="N15" s="30" t="n">
        <x:v>0</x:v>
      </x:c>
    </x:row>
    <x:row r="16" ht="27" hidden="0" customHeight="1">
      <x:c r="A16" s="11" t="str">
        <x:v>JoomEngine AI / MCP</x:v>
      </x:c>
      <x:c r="B16" s="30" t="n">
        <x:v>1</x:v>
      </x:c>
      <x:c r="C16" s="30" t="n">
        <x:v>1</x:v>
      </x:c>
      <x:c r="D16" s="30" t="n">
        <x:v>0</x:v>
      </x:c>
      <x:c r="E16" s="30" t="n">
        <x:v>0</x:v>
      </x:c>
      <x:c r="F16" s="30" t="n">
        <x:v>0</x:v>
      </x:c>
      <x:c r="G16" s="30" t="n">
        <x:v>1</x:v>
      </x:c>
      <x:c r="H16" s="3"/>
      <x:c r="I16" s="11" t="str">
        <x:v>joomla-docker</x:v>
      </x:c>
      <x:c r="J16" s="30" t="n">
        <x:v>1</x:v>
      </x:c>
      <x:c r="K16" s="30" t="n">
        <x:v>1</x:v>
      </x:c>
      <x:c r="L16" s="30" t="n">
        <x:v>0</x:v>
      </x:c>
      <x:c r="M16" s="30" t="n">
        <x:v>0</x:v>
      </x:c>
      <x:c r="N16" s="30" t="n">
        <x:v>0</x:v>
      </x:c>
    </x:row>
    <x:row r="17" ht="27" hidden="0" customHeight="1">
      <x:c r="A17" s="11" t="str">
        <x:v>Kumwe CMS &amp; Business Platform</x:v>
      </x:c>
      <x:c r="B17" s="30" t="n">
        <x:v>1</x:v>
      </x:c>
      <x:c r="C17" s="30" t="n">
        <x:v>1</x:v>
      </x:c>
      <x:c r="D17" s="30" t="n">
        <x:v>0</x:v>
      </x:c>
      <x:c r="E17" s="30" t="n">
        <x:v>0</x:v>
      </x:c>
      <x:c r="F17" s="30" t="n">
        <x:v>0</x:v>
      </x:c>
      <x:c r="G17" s="30" t="n">
        <x:v>1</x:v>
      </x:c>
      <x:c r="H17" s="3"/>
      <x:c r="I17" s="11" t="str">
        <x:v>sermonindex</x:v>
      </x:c>
      <x:c r="J17" s="30" t="n">
        <x:v>1</x:v>
      </x:c>
      <x:c r="K17" s="30" t="n">
        <x:v>0</x:v>
      </x:c>
      <x:c r="L17" s="30" t="n">
        <x:v>1</x:v>
      </x:c>
      <x:c r="M17" s="30" t="n">
        <x:v>0</x:v>
      </x:c>
      <x:c r="N17" s="30" t="n">
        <x:v>0</x:v>
      </x:c>
    </x:row>
    <x:row r="18" ht="27" hidden="0" customHeight="1">
      <x:c r="A18" s="11" t="str">
        <x:v>Official Joomla Container Engineering</x:v>
      </x:c>
      <x:c r="B18" s="30" t="n">
        <x:v>1</x:v>
      </x:c>
      <x:c r="C18" s="30" t="n">
        <x:v>1</x:v>
      </x:c>
      <x:c r="D18" s="30" t="n">
        <x:v>0</x:v>
      </x:c>
      <x:c r="E18" s="30" t="n">
        <x:v>0</x:v>
      </x:c>
      <x:c r="F18" s="30" t="n">
        <x:v>0</x:v>
      </x:c>
      <x:c r="G18" s="30" t="n">
        <x:v>1</x:v>
      </x:c>
      <x:c r="H18" s="3"/>
      <x:c r="I18" s="11"/>
      <x:c r="J18" s="30"/>
      <x:c r="K18" s="30"/>
      <x:c r="L18" s="30"/>
      <x:c r="M18" s="30"/>
      <x:c r="N18" s="30"/>
    </x:row>
    <x:row r="19" ht="27" hidden="0" customHeight="1">
      <x:c r="A19" s="11" t="str">
        <x:v>SermonIndex Data Systems</x:v>
      </x:c>
      <x:c r="B19" s="30" t="n">
        <x:v>1</x:v>
      </x:c>
      <x:c r="C19" s="30" t="n">
        <x:v>0</x:v>
      </x:c>
      <x:c r="D19" s="30" t="n">
        <x:v>1</x:v>
      </x:c>
      <x:c r="E19" s="30" t="n">
        <x:v>0</x:v>
      </x:c>
      <x:c r="F19" s="30" t="n">
        <x:v>0</x:v>
      </x:c>
      <x:c r="G19" s="30" t="n">
        <x:v>0</x:v>
      </x:c>
      <x:c r="H19" s="3"/>
      <x:c r="I19" s="3"/>
      <x:c r="J19" s="3"/>
      <x:c r="K19" s="3"/>
      <x:c r="L19" s="3"/>
      <x:c r="M19" s="3"/>
      <x:c r="N19" s="3"/>
    </x:row>
    <x:row r="20" ht="27" hidden="0" customHeight="1">
      <x:c r="A20" s="11" t="str">
        <x:v>Personal Engineering Portfolio</x:v>
      </x:c>
      <x:c r="B20" s="30" t="n">
        <x:v>1</x:v>
      </x:c>
      <x:c r="C20" s="30" t="n">
        <x:v>0</x:v>
      </x:c>
      <x:c r="D20" s="30" t="n">
        <x:v>0</x:v>
      </x:c>
      <x:c r="E20" s="30" t="n">
        <x:v>1</x:v>
      </x:c>
      <x:c r="F20" s="30" t="n">
        <x:v>0</x:v>
      </x:c>
      <x:c r="G20" s="30" t="n">
        <x:v>1</x:v>
      </x:c>
      <x:c r="H20" s="3"/>
      <x:c r="I20" s="3"/>
      <x:c r="J20" s="3"/>
      <x:c r="K20" s="3"/>
      <x:c r="L20" s="3"/>
      <x:c r="M20" s="3"/>
      <x:c r="N20" s="3"/>
    </x:row>
    <x:row r="21" ht="27" hidden="0" customHeight="1">
      <x:c r="A21" s="11"/>
      <x:c r="B21" s="30"/>
      <x:c r="C21" s="30"/>
      <x:c r="D21" s="30"/>
      <x:c r="E21" s="30"/>
      <x:c r="F21" s="30"/>
      <x:c r="G21" s="30"/>
      <x:c r="H21" s="3"/>
      <x:c r="I21" s="3"/>
      <x:c r="J21" s="3"/>
      <x:c r="K21" s="3"/>
      <x:c r="L21" s="3"/>
      <x:c r="M21" s="3"/>
      <x:c r="N21" s="3"/>
    </x:row>
  </x:sheetData>
  <x:mergeCells>
    <x:mergeCell ref="A1:N1"/>
    <x:mergeCell ref="A2:N2"/>
    <x:mergeCell ref="A4:G4"/>
    <x:mergeCell ref="I4:N4"/>
  </x:mergeCells>
  <x:pageMargins left="0.7" right="0.7" top="0.75" bottom="0.75" header="0.3" footer="0.3"/>
  <x:drawing xmlns:r="http://schemas.openxmlformats.org/officeDocument/2006/relationships" r:id="Rd118d1d214594143"/>
</x:worksheet>
</file>

<file path=xl/worksheets/sheet5.xml><?xml version="1.0" encoding="utf-8"?>
<x:worksheet xmlns:x="http://schemas.openxmlformats.org/spreadsheetml/2006/main">
  <x:sheetViews>
    <x:sheetView showGridLines="1" workbookViewId="0"/>
  </x:sheetViews>
  <x:sheetFormatPr defaultColWidth="9.7578125" defaultRowHeight="15"/>
  <x:cols>
    <x:col min="1" max="1" width="31.780000686645508" hidden="0" customWidth="1"/>
    <x:col min="2" max="2" width="65.83999633789062" hidden="0" customWidth="1"/>
    <x:col min="3" max="3" width="59.029998779296875" hidden="0" customWidth="1"/>
    <x:col min="4" max="4" width="24.979999542236328" hidden="0" customWidth="1"/>
    <x:col min="5" max="5" width="22.700000762939453" hidden="0" customWidth="1"/>
    <x:col min="6" max="6" width="47.68000030517578" hidden="0" customWidth="1"/>
    <x:col min="7" max="7" width="54.4900016784668" hidden="0" customWidth="1"/>
  </x:cols>
  <x:sheetData>
    <x:row r="1" ht="32" hidden="0" customHeight="1">
      <x:c r="A1" s="14" t="s">
        <x:v>53</x:v>
      </x:c>
      <x:c r="B1" s="14"/>
      <x:c r="C1" s="14"/>
      <x:c r="D1" s="14"/>
      <x:c r="E1" s="14"/>
      <x:c r="F1" s="14"/>
      <x:c r="G1" s="14"/>
    </x:row>
    <x:row r="2" ht="30" hidden="0" customHeight="1">
      <x:c r="A2" s="2" t="s">
        <x:v>54</x:v>
      </x:c>
      <x:c r="B2" s="2"/>
      <x:c r="C2" s="2"/>
      <x:c r="D2" s="2"/>
      <x:c r="E2" s="2"/>
      <x:c r="F2" s="2"/>
      <x:c r="G2" s="2"/>
    </x:row>
    <x:row r="3" ht="15" hidden="0">
      <x:c r="A3" s="3"/>
      <x:c r="B3" s="3"/>
      <x:c r="C3" s="3"/>
      <x:c r="D3" s="3"/>
      <x:c r="E3" s="3"/>
      <x:c r="F3" s="3"/>
      <x:c r="G3" s="3"/>
    </x:row>
    <x:row r="4" ht="34" hidden="0" customHeight="1">
      <x:c r="A4" s="15" t="s">
        <x:v>55</x:v>
      </x:c>
      <x:c r="B4" s="15" t="s">
        <x:v>56</x:v>
      </x:c>
      <x:c r="C4" s="15" t="s">
        <x:v>57</x:v>
      </x:c>
      <x:c r="D4" s="15" t="s">
        <x:v>58</x:v>
      </x:c>
      <x:c r="E4" s="15" t="s">
        <x:v>59</x:v>
      </x:c>
      <x:c r="F4" s="15" t="s">
        <x:v>60</x:v>
      </x:c>
      <x:c r="G4" s="15" t="s">
        <x:v>61</x:v>
      </x:c>
    </x:row>
    <x:row r="5" ht="76" hidden="0" customHeight="1">
      <x:c r="A5" s="11" t="s">
        <x:v>62</x:v>
      </x:c>
      <x:c r="B5" s="11" t="s">
        <x:v>63</x:v>
      </x:c>
      <x:c r="C5" s="11" t="s">
        <x:v>64</x:v>
      </x:c>
      <x:c r="D5" s="11" t="s">
        <x:v>65</x:v>
      </x:c>
      <x:c r="E5" s="11" t="s">
        <x:v>66</x:v>
      </x:c>
      <x:c r="F5" s="12" t="s">
        <x:v>67</x:v>
      </x:c>
      <x:c r="G5" s="11" t="s">
        <x:v>68</x:v>
      </x:c>
    </x:row>
    <x:row r="6" ht="76" hidden="0" customHeight="1">
      <x:c r="A6" s="11" t="s">
        <x:v>62</x:v>
      </x:c>
      <x:c r="B6" s="11" t="s">
        <x:v>69</x:v>
      </x:c>
      <x:c r="C6" s="11" t="s">
        <x:v>70</x:v>
      </x:c>
      <x:c r="D6" s="11" t="s">
        <x:v>65</x:v>
      </x:c>
      <x:c r="E6" s="11" t="s">
        <x:v>66</x:v>
      </x:c>
      <x:c r="F6" s="12" t="s">
        <x:v>67</x:v>
      </x:c>
      <x:c r="G6" s="11" t="s">
        <x:v>71</x:v>
      </x:c>
    </x:row>
    <x:row r="7" ht="76" hidden="0" customHeight="1">
      <x:c r="A7" s="11" t="s">
        <x:v>72</x:v>
      </x:c>
      <x:c r="B7" s="11" t="s">
        <x:v>73</x:v>
      </x:c>
      <x:c r="C7" s="11" t="s">
        <x:v>74</x:v>
      </x:c>
      <x:c r="D7" s="11" t="s">
        <x:v>75</x:v>
      </x:c>
      <x:c r="E7" s="11" t="s">
        <x:v>66</x:v>
      </x:c>
      <x:c r="F7" s="12" t="s">
        <x:v>76</x:v>
      </x:c>
      <x:c r="G7" s="11" t="s">
        <x:v>77</x:v>
      </x:c>
    </x:row>
    <x:row r="8" ht="76" hidden="0" customHeight="1">
      <x:c r="A8" s="11" t="s">
        <x:v>78</x:v>
      </x:c>
      <x:c r="B8" s="11" t="s">
        <x:v>79</x:v>
      </x:c>
      <x:c r="C8" s="11" t="s">
        <x:v>80</x:v>
      </x:c>
      <x:c r="D8" s="11" t="s">
        <x:v>81</x:v>
      </x:c>
      <x:c r="E8" s="11" t="s">
        <x:v>82</x:v>
      </x:c>
      <x:c r="F8" s="12" t="s">
        <x:v>83</x:v>
      </x:c>
      <x:c r="G8" s="11" t="s">
        <x:v>84</x:v>
      </x:c>
    </x:row>
    <x:row r="9" ht="76" hidden="0" customHeight="1">
      <x:c r="A9" s="11" t="s">
        <x:v>78</x:v>
      </x:c>
      <x:c r="B9" s="11" t="s">
        <x:v>85</x:v>
      </x:c>
      <x:c r="C9" s="11" t="s">
        <x:v>86</x:v>
      </x:c>
      <x:c r="D9" s="11" t="s">
        <x:v>81</x:v>
      </x:c>
      <x:c r="E9" s="11" t="s">
        <x:v>82</x:v>
      </x:c>
      <x:c r="F9" s="12" t="s">
        <x:v>87</x:v>
      </x:c>
      <x:c r="G9" s="11" t="s">
        <x:v>88</x:v>
      </x:c>
    </x:row>
    <x:row r="10" ht="76" hidden="0" customHeight="1">
      <x:c r="A10" s="11" t="s">
        <x:v>78</x:v>
      </x:c>
      <x:c r="B10" s="11" t="s">
        <x:v>89</x:v>
      </x:c>
      <x:c r="C10" s="11" t="s">
        <x:v>90</x:v>
      </x:c>
      <x:c r="D10" s="11" t="s">
        <x:v>81</x:v>
      </x:c>
      <x:c r="E10" s="11" t="s">
        <x:v>82</x:v>
      </x:c>
      <x:c r="F10" s="12" t="s">
        <x:v>87</x:v>
      </x:c>
      <x:c r="G10" s="11" t="s">
        <x:v>91</x:v>
      </x:c>
    </x:row>
    <x:row r="11" ht="76" hidden="0" customHeight="1">
      <x:c r="A11" s="11" t="s">
        <x:v>92</x:v>
      </x:c>
      <x:c r="B11" s="11" t="s">
        <x:v>93</x:v>
      </x:c>
      <x:c r="C11" s="11" t="s">
        <x:v>94</x:v>
      </x:c>
      <x:c r="D11" s="11" t="s">
        <x:v>65</x:v>
      </x:c>
      <x:c r="E11" s="11" t="s">
        <x:v>66</x:v>
      </x:c>
      <x:c r="F11" s="12" t="s">
        <x:v>95</x:v>
      </x:c>
      <x:c r="G11" s="11" t="s">
        <x:v>96</x:v>
      </x:c>
    </x:row>
    <x:row r="12" ht="76" hidden="0" customHeight="1">
      <x:c r="A12" s="11" t="s">
        <x:v>97</x:v>
      </x:c>
      <x:c r="B12" s="11" t="s">
        <x:v>98</x:v>
      </x:c>
      <x:c r="C12" s="11" t="s">
        <x:v>99</x:v>
      </x:c>
      <x:c r="D12" s="11" t="s">
        <x:v>100</x:v>
      </x:c>
      <x:c r="E12" s="11" t="s">
        <x:v>101</x:v>
      </x:c>
      <x:c r="F12" s="12" t="s">
        <x:v>102</x:v>
      </x:c>
      <x:c r="G12" s="11" t="s">
        <x:v>103</x:v>
      </x:c>
    </x:row>
    <x:row r="13" ht="76" hidden="0" customHeight="1">
      <x:c r="A13" s="11" t="s">
        <x:v>104</x:v>
      </x:c>
      <x:c r="B13" s="11" t="s">
        <x:v>105</x:v>
      </x:c>
      <x:c r="C13" s="11" t="s">
        <x:v>106</x:v>
      </x:c>
      <x:c r="D13" s="11" t="s">
        <x:v>107</x:v>
      </x:c>
      <x:c r="E13" s="11" t="s">
        <x:v>101</x:v>
      </x:c>
      <x:c r="F13" s="12" t="s">
        <x:v>108</x:v>
      </x:c>
      <x:c r="G13" s="11" t="s">
        <x:v>109</x:v>
      </x:c>
    </x:row>
    <x:row r="14" ht="76" hidden="0" customHeight="1">
      <x:c r="A14" s="11" t="s">
        <x:v>110</x:v>
      </x:c>
      <x:c r="B14" s="11" t="s">
        <x:v>111</x:v>
      </x:c>
      <x:c r="C14" s="11" t="s">
        <x:v>112</x:v>
      </x:c>
      <x:c r="D14" s="11" t="s">
        <x:v>113</x:v>
      </x:c>
      <x:c r="E14" s="11" t="s">
        <x:v>114</x:v>
      </x:c>
      <x:c r="F14" s="12" t="s">
        <x:v>115</x:v>
      </x:c>
      <x:c r="G14" s="11" t="s">
        <x:v>116</x:v>
      </x:c>
    </x:row>
    <x:row r="15" ht="76" hidden="0" customHeight="1">
      <x:c r="A15" s="11" t="s">
        <x:v>117</x:v>
      </x:c>
      <x:c r="B15" s="11" t="s">
        <x:v>118</x:v>
      </x:c>
      <x:c r="C15" s="11" t="s">
        <x:v>119</x:v>
      </x:c>
      <x:c r="D15" s="11" t="s">
        <x:v>120</x:v>
      </x:c>
      <x:c r="E15" s="11" t="s">
        <x:v>66</x:v>
      </x:c>
      <x:c r="F15" s="12" t="s">
        <x:v>67</x:v>
      </x:c>
      <x:c r="G15" s="11" t="s">
        <x:v>121</x:v>
      </x:c>
    </x:row>
    <x:row r="16" ht="76" hidden="0" customHeight="1">
      <x:c r="A16" s="11" t="s">
        <x:v>117</x:v>
      </x:c>
      <x:c r="B16" s="11" t="s">
        <x:v>122</x:v>
      </x:c>
      <x:c r="C16" s="11" t="s">
        <x:v>123</x:v>
      </x:c>
      <x:c r="D16" s="11" t="s">
        <x:v>81</x:v>
      </x:c>
      <x:c r="E16" s="11" t="s">
        <x:v>124</x:v>
      </x:c>
      <x:c r="F16" s="12" t="s">
        <x:v>125</x:v>
      </x:c>
      <x:c r="G16" s="11" t="s">
        <x:v>126</x:v>
      </x:c>
    </x:row>
    <x:row r="17" ht="76" hidden="0" customHeight="1">
      <x:c r="A17" s="11" t="s">
        <x:v>117</x:v>
      </x:c>
      <x:c r="B17" s="11" t="s">
        <x:v>127</x:v>
      </x:c>
      <x:c r="C17" s="11" t="s">
        <x:v>128</x:v>
      </x:c>
      <x:c r="D17" s="11" t="s">
        <x:v>81</x:v>
      </x:c>
      <x:c r="E17" s="11" t="s">
        <x:v>124</x:v>
      </x:c>
      <x:c r="F17" s="12" t="s">
        <x:v>129</x:v>
      </x:c>
      <x:c r="G17" s="11" t="s">
        <x:v>130</x:v>
      </x:c>
    </x:row>
    <x:row r="18" ht="76" hidden="0" customHeight="1">
      <x:c r="A18" s="11" t="s">
        <x:v>117</x:v>
      </x:c>
      <x:c r="B18" s="11" t="s">
        <x:v>131</x:v>
      </x:c>
      <x:c r="C18" s="11" t="s">
        <x:v>132</x:v>
      </x:c>
      <x:c r="D18" s="11" t="s">
        <x:v>81</x:v>
      </x:c>
      <x:c r="E18" s="11" t="s">
        <x:v>133</x:v>
      </x:c>
      <x:c r="F18" s="12" t="str">
        <x:v>Professional Dossier; https://www.eacmarkup.org/</x:v>
      </x:c>
      <x:c r="G18" s="11" t="s">
        <x:v>134</x:v>
      </x:c>
    </x:row>
    <x:row r="19" ht="76" hidden="0" customHeight="1">
      <x:c r="A19" s="11" t="s">
        <x:v>117</x:v>
      </x:c>
      <x:c r="B19" s="11" t="s">
        <x:v>135</x:v>
      </x:c>
      <x:c r="C19" s="11" t="s">
        <x:v>136</x:v>
      </x:c>
      <x:c r="D19" s="11" t="s">
        <x:v>137</x:v>
      </x:c>
      <x:c r="E19" s="11" t="s">
        <x:v>124</x:v>
      </x:c>
      <x:c r="F19" s="12" t="s">
        <x:v>76</x:v>
      </x:c>
      <x:c r="G19" s="11" t="s">
        <x:v>138</x:v>
      </x:c>
    </x:row>
    <x:row r="20" ht="76" hidden="0" customHeight="1">
      <x:c r="A20" s="11" t="s">
        <x:v>139</x:v>
      </x:c>
      <x:c r="B20" s="11" t="s">
        <x:v>140</x:v>
      </x:c>
      <x:c r="C20" s="11" t="s">
        <x:v>141</x:v>
      </x:c>
      <x:c r="D20" s="11" t="s">
        <x:v>120</x:v>
      </x:c>
      <x:c r="E20" s="11" t="s">
        <x:v>66</x:v>
      </x:c>
      <x:c r="F20" s="12" t="s">
        <x:v>67</x:v>
      </x:c>
      <x:c r="G20" s="11" t="s">
        <x:v>142</x:v>
      </x:c>
    </x:row>
    <x:row r="21" ht="76" hidden="0" customHeight="1">
      <x:c r="A21" s="11" t="s">
        <x:v>143</x:v>
      </x:c>
      <x:c r="B21" s="11" t="s">
        <x:v>144</x:v>
      </x:c>
      <x:c r="C21" s="11" t="s">
        <x:v>145</x:v>
      </x:c>
      <x:c r="D21" s="11" t="s">
        <x:v>146</x:v>
      </x:c>
      <x:c r="E21" s="11" t="s">
        <x:v>147</x:v>
      </x:c>
      <x:c r="F21" s="12" t="s">
        <x:v>148</x:v>
      </x:c>
      <x:c r="G21" s="11" t="s">
        <x:v>149</x:v>
      </x:c>
    </x:row>
    <x:row r="22" ht="76" hidden="0" customHeight="1">
      <x:c r="A22" s="11" t="s">
        <x:v>150</x:v>
      </x:c>
      <x:c r="B22" s="11" t="s">
        <x:v>151</x:v>
      </x:c>
      <x:c r="C22" s="11" t="s">
        <x:v>152</x:v>
      </x:c>
      <x:c r="D22" s="11" t="s">
        <x:v>153</x:v>
      </x:c>
      <x:c r="E22" s="11" t="s">
        <x:v>154</x:v>
      </x:c>
      <x:c r="F22" s="12" t="s">
        <x:v>155</x:v>
      </x:c>
      <x:c r="G22" s="11" t="s">
        <x:v>156</x:v>
      </x:c>
    </x:row>
    <x:row r="23" ht="76" hidden="0" customHeight="1">
      <x:c r="A23" s="11" t="s">
        <x:v>157</x:v>
      </x:c>
      <x:c r="B23" s="11" t="s">
        <x:v>158</x:v>
      </x:c>
      <x:c r="C23" s="11" t="s">
        <x:v>159</x:v>
      </x:c>
      <x:c r="D23" s="11" t="s">
        <x:v>137</x:v>
      </x:c>
      <x:c r="E23" s="11" t="s">
        <x:v>101</x:v>
      </x:c>
      <x:c r="F23" s="12" t="s">
        <x:v>76</x:v>
      </x:c>
      <x:c r="G23" s="11" t="s">
        <x:v>160</x:v>
      </x:c>
    </x:row>
    <x:row r="24" ht="76" hidden="0" customHeight="1">
      <x:c r="A24" s="11" t="s">
        <x:v>157</x:v>
      </x:c>
      <x:c r="B24" s="11" t="s">
        <x:v>161</x:v>
      </x:c>
      <x:c r="C24" s="11" t="s">
        <x:v>162</x:v>
      </x:c>
      <x:c r="D24" s="11" t="s">
        <x:v>120</x:v>
      </x:c>
      <x:c r="E24" s="11" t="s">
        <x:v>66</x:v>
      </x:c>
      <x:c r="F24" s="12" t="s">
        <x:v>67</x:v>
      </x:c>
      <x:c r="G24" s="11" t="s">
        <x:v>163</x:v>
      </x:c>
    </x:row>
    <x:row r="25" ht="76" hidden="0" customHeight="1">
      <x:c r="A25" s="11" t="s">
        <x:v>164</x:v>
      </x:c>
      <x:c r="B25" s="11" t="s">
        <x:v>165</x:v>
      </x:c>
      <x:c r="C25" s="11" t="s">
        <x:v>166</x:v>
      </x:c>
      <x:c r="D25" s="11" t="s">
        <x:v>167</x:v>
      </x:c>
      <x:c r="E25" s="11" t="s">
        <x:v>168</x:v>
      </x:c>
      <x:c r="F25" s="12" t="s">
        <x:v>169</x:v>
      </x:c>
      <x:c r="G25" s="11" t="s">
        <x:v>170</x:v>
      </x:c>
    </x:row>
    <x:row r="26" ht="76" hidden="0" customHeight="1">
      <x:c r="A26" s="11" t="s">
        <x:v>164</x:v>
      </x:c>
      <x:c r="B26" s="11" t="s">
        <x:v>171</x:v>
      </x:c>
      <x:c r="C26" s="11" t="s">
        <x:v>172</x:v>
      </x:c>
      <x:c r="D26" s="11" t="s">
        <x:v>167</x:v>
      </x:c>
      <x:c r="E26" s="11" t="s">
        <x:v>168</x:v>
      </x:c>
      <x:c r="F26" s="12" t="s">
        <x:v>173</x:v>
      </x:c>
      <x:c r="G26" s="11" t="s">
        <x:v>174</x:v>
      </x:c>
    </x:row>
    <x:row r="27" ht="76" hidden="0" customHeight="1">
      <x:c r="A27" s="11" t="s">
        <x:v>175</x:v>
      </x:c>
      <x:c r="B27" s="11" t="s">
        <x:v>176</x:v>
      </x:c>
      <x:c r="C27" s="11" t="s">
        <x:v>177</x:v>
      </x:c>
      <x:c r="D27" s="11" t="s">
        <x:v>178</x:v>
      </x:c>
      <x:c r="E27" s="11" t="s">
        <x:v>168</x:v>
      </x:c>
      <x:c r="F27" s="12" t="s">
        <x:v>173</x:v>
      </x:c>
      <x:c r="G27" s="11" t="s">
        <x:v>179</x:v>
      </x:c>
    </x:row>
    <x:row r="28" ht="76" hidden="0" customHeight="1">
      <x:c r="A28" s="11" t="s">
        <x:v>180</x:v>
      </x:c>
      <x:c r="B28" s="11" t="s">
        <x:v>181</x:v>
      </x:c>
      <x:c r="C28" s="11" t="s">
        <x:v>182</x:v>
      </x:c>
      <x:c r="D28" s="11" t="s">
        <x:v>183</x:v>
      </x:c>
      <x:c r="E28" s="11" t="s">
        <x:v>184</x:v>
      </x:c>
      <x:c r="F28" s="12" t="s">
        <x:v>173</x:v>
      </x:c>
      <x:c r="G28" s="11" t="s">
        <x:v>185</x:v>
      </x:c>
    </x:row>
    <x:row r="29" ht="76" hidden="0" customHeight="1">
      <x:c r="A29" s="11" t="s">
        <x:v>186</x:v>
      </x:c>
      <x:c r="B29" s="11" t="s">
        <x:v>187</x:v>
      </x:c>
      <x:c r="C29" s="11" t="s">
        <x:v>188</x:v>
      </x:c>
      <x:c r="D29" s="11" t="s">
        <x:v>189</x:v>
      </x:c>
      <x:c r="E29" s="11" t="s">
        <x:v>184</x:v>
      </x:c>
      <x:c r="F29" s="12" t="s">
        <x:v>173</x:v>
      </x:c>
      <x:c r="G29" s="11" t="s">
        <x:v>190</x:v>
      </x:c>
    </x:row>
    <x:row r="30" ht="76" hidden="0" customHeight="1">
      <x:c r="A30" s="11" t="s">
        <x:v>191</x:v>
      </x:c>
      <x:c r="B30" s="11" t="str">
        <x:v>Supplied archive: 444 distinct audio records, approximately 249.67 hours, 2021–2025; 437 are at least twenty minutes.</x:v>
      </x:c>
      <x:c r="C30" s="11" t="s">
        <x:v>192</x:v>
      </x:c>
      <x:c r="D30" s="11" t="s">
        <x:v>193</x:v>
      </x:c>
      <x:c r="E30" s="11" t="s">
        <x:v>194</x:v>
      </x:c>
      <x:c r="F30" s="12" t="s">
        <x:v>195</x:v>
      </x:c>
      <x:c r="G30" s="11" t="str">
        <x:v>The audio messages are separate from the YouTube messages, as confirmed by the source owner.</x:v>
      </x:c>
    </x:row>
    <x:row r="31" ht="76" hidden="0" customHeight="1">
      <x:c r="A31" s="11" t="s">
        <x:v>191</x:v>
      </x:c>
      <x:c r="B31" s="11" t="str">
        <x:v>Public Brother Llewellyn playlist on the church channel on YouTube: 387 videos, approximately 438.86 hours, visible dates 2018–2023.</x:v>
      </x:c>
      <x:c r="C31" s="11" t="str">
        <x:v>Use as additive evidence of sustained public communication and long-form teaching.</x:v>
      </x:c>
      <x:c r="D31" s="11" t="s">
        <x:v>196</x:v>
      </x:c>
      <x:c r="E31" s="11" t="s">
        <x:v>197</x:v>
      </x:c>
      <x:c r="F31" s="12" t="s">
        <x:v>198</x:v>
      </x:c>
      <x:c r="G31" s="11" t="str">
        <x:v>Additive with the supplied archive: approximately 831 sermons and 688.53 hours (approximately 689) across 8 years.</x:v>
      </x:c>
    </x:row>
    <x:row r="32" ht="76" hidden="0" customHeight="1">
      <x:c r="A32" s="11" t="s">
        <x:v>199</x:v>
      </x:c>
      <x:c r="B32" s="11" t="s">
        <x:v>200</x:v>
      </x:c>
      <x:c r="C32" s="11" t="s">
        <x:v>201</x:v>
      </x:c>
      <x:c r="D32" s="11" t="s">
        <x:v>65</x:v>
      </x:c>
      <x:c r="E32" s="11" t="s">
        <x:v>66</x:v>
      </x:c>
      <x:c r="F32" s="12" t="s">
        <x:v>67</x:v>
      </x:c>
      <x:c r="G32" s="11" t="s">
        <x:v>202</x:v>
      </x:c>
    </x:row>
    <x:row r="33" ht="76" hidden="0" customHeight="1">
      <x:c r="A33" s="11" t="s">
        <x:v>203</x:v>
      </x:c>
      <x:c r="B33" s="11" t="s">
        <x:v>204</x:v>
      </x:c>
      <x:c r="C33" s="11" t="s">
        <x:v>205</x:v>
      </x:c>
      <x:c r="D33" s="11" t="s">
        <x:v>65</x:v>
      </x:c>
      <x:c r="E33" s="11" t="s">
        <x:v>66</x:v>
      </x:c>
      <x:c r="F33" s="12" t="s">
        <x:v>206</x:v>
      </x:c>
      <x:c r="G33" s="11" t="s">
        <x:v>207</x:v>
      </x:c>
    </x:row>
    <x:row r="34" ht="76" hidden="0" customHeight="1">
      <x:c r="A34" s="11" t="s">
        <x:v>203</x:v>
      </x:c>
      <x:c r="B34" s="11" t="s">
        <x:v>208</x:v>
      </x:c>
      <x:c r="C34" s="11" t="s">
        <x:v>209</x:v>
      </x:c>
      <x:c r="D34" s="11" t="s">
        <x:v>65</x:v>
      </x:c>
      <x:c r="E34" s="11" t="s">
        <x:v>66</x:v>
      </x:c>
      <x:c r="F34" s="12" t="s">
        <x:v>67</x:v>
      </x:c>
      <x:c r="G34" s="11" t="s">
        <x:v>210</x:v>
      </x:c>
    </x:row>
    <x:row r="35" ht="76" hidden="0" customHeight="1">
      <x:c r="A35" s="11" t="s">
        <x:v>211</x:v>
      </x:c>
      <x:c r="B35" s="11" t="s">
        <x:v>212</x:v>
      </x:c>
      <x:c r="C35" s="11" t="s">
        <x:v>213</x:v>
      </x:c>
      <x:c r="D35" s="11" t="s">
        <x:v>65</x:v>
      </x:c>
      <x:c r="E35" s="11" t="s">
        <x:v>66</x:v>
      </x:c>
      <x:c r="F35" s="12" t="s">
        <x:v>214</x:v>
      </x:c>
      <x:c r="G35" s="11" t="s">
        <x:v>215</x:v>
      </x:c>
    </x:row>
    <x:row r="36" ht="76" hidden="0" customHeight="1">
      <x:c r="A36" s="11" t="s">
        <x:v>216</x:v>
      </x:c>
      <x:c r="B36" s="11" t="s">
        <x:v>217</x:v>
      </x:c>
      <x:c r="C36" s="11" t="s">
        <x:v>218</x:v>
      </x:c>
      <x:c r="D36" s="11" t="s">
        <x:v>120</x:v>
      </x:c>
      <x:c r="E36" s="11" t="s">
        <x:v>66</x:v>
      </x:c>
      <x:c r="F36" s="12" t="s">
        <x:v>219</x:v>
      </x:c>
      <x:c r="G36" s="11" t="s">
        <x:v>220</x:v>
      </x:c>
    </x:row>
    <x:row r="37" ht="76" hidden="0" customHeight="1">
      <x:c r="A37" s="11" t="s">
        <x:v>221</x:v>
      </x:c>
      <x:c r="B37" s="11" t="s">
        <x:v>222</x:v>
      </x:c>
      <x:c r="C37" s="11" t="s">
        <x:v>223</x:v>
      </x:c>
      <x:c r="D37" s="11" t="s">
        <x:v>120</x:v>
      </x:c>
      <x:c r="E37" s="11" t="s">
        <x:v>66</x:v>
      </x:c>
      <x:c r="F37" s="12" t="s">
        <x:v>224</x:v>
      </x:c>
      <x:c r="G37" s="11" t="s">
        <x:v>225</x:v>
      </x:c>
    </x:row>
    <x:row r="38" ht="68" customHeight="1">
      <x:c r="A38" t="str">
        <x:v>Professional scope</x:v>
      </x:c>
      <x:c r="B38" t="str">
        <x:v>Confidential commercial and institutional delivery</x:v>
      </x:c>
      <x:c r="C38" t="str">
        <x:v>Vast Development Method has delivered substantial large-scale proprietary work for commercial and institutional clients under confidentiality and non-disclosure obligations.</x:v>
      </x:c>
      <x:c r="D38"/>
      <x:c r="E38" t="str">
        <x:v>Use in both CVs</x:v>
      </x:c>
      <x:c r="F38" t="str">
        <x:v>Describe responsibility, continuity and broad professional objectives only.</x:v>
      </x:c>
      <x:c r="G38" t="str">
        <x:v>The public repository record is the detailed shareable evidence, not the full career.</x:v>
      </x:c>
    </x:row>
    <x:row r="39" ht="68" customHeight="1">
      <x:c r="A39" t="str">
        <x:v>Editorial authority</x:v>
      </x:c>
      <x:c r="B39" t="str">
        <x:v>Public record as a lower bound</x:v>
      </x:c>
      <x:c r="C39" t="str">
        <x:v>Public GitHub organisations and git.vdm.dev provide verifiable examples of architecture, implementation, release and maintenance; private repositories, client architecture, infrastructure and proprietary methods are intentionally not itemised.</x:v>
      </x:c>
      <x:c r="D39"/>
      <x:c r="E39" t="str">
        <x:v>Use prominently</x:v>
      </x:c>
      <x:c r="F39" t="str">
        <x:v>Frame confidentiality as professional stewardship, not as a defensive disclaimer.</x:v>
      </x:c>
      <x:c r="G39" t="str">
        <x:v>No private repository or internal-system names.</x:v>
      </x:c>
    </x:row>
    <x:row r="40" ht="68" customHeight="1">
      <x:c r="A40" t="str">
        <x:v>Engineering continuity</x:v>
      </x:c>
      <x:c r="B40" t="str">
        <x:v>Pre-generative-AI authorship and maintenance spans</x:v>
      </x:c>
      <x:c r="C40" t="str">
        <x:v>Most long-running public platforms, Joomla applications and OctoLeo Bash systems began before modern generative coding tools. Use first attributable date, latest evidence date and supported span where these demonstrate original hands-on engineering and dependable stewardship.</x:v>
      </x:c>
      <x:c r="D40"/>
      <x:c r="E40" t="str">
        <x:v>Use throughout Exhaustive CV</x:v>
      </x:c>
      <x:c r="F40" t="str">
        <x:v>Recent MCP and AI work should be presented as a later extension of an established engineering base.</x:v>
      </x:c>
      <x:c r="G40" t="str">
        <x:v>Do not claim every historical line was typed manually; use dated repository history and specific authorship evidence.</x:v>
      </x:c>
    </x:row>
  </x:sheetData>
  <x:mergeCells>
    <x:mergeCell ref="A1:G1"/>
    <x:mergeCell ref="A2:G2"/>
  </x:mergeCells>
  <x:pageMargins left="0.7" right="0.7" top="0.75" bottom="0.75" header="0.3" footer="0.3"/>
  <x:tableParts count="1">
    <x:tablePart xmlns:r="http://schemas.openxmlformats.org/officeDocument/2006/relationships" r:id="R971eaab343e94330"/>
  </x:tableParts>
</x:worksheet>
</file>

<file path=xl/worksheets/sheet6.xml><?xml version="1.0" encoding="utf-8"?>
<x:worksheet xmlns:x="http://schemas.openxmlformats.org/spreadsheetml/2006/main">
  <x:sheetViews>
    <x:sheetView showGridLines="1" workbookViewId="0"/>
  </x:sheetViews>
  <x:sheetFormatPr defaultColWidth="9.7578125" defaultRowHeight="15"/>
  <x:cols>
    <x:col min="1" max="1" width="54.4900016784668" hidden="0" customWidth="1"/>
    <x:col min="2" max="2" width="13.619999885559082" hidden="0" customWidth="1"/>
    <x:col min="3" max="3" width="29.520000457763672" hidden="0" customWidth="1"/>
    <x:col min="4" max="4" width="70.37999725341797" hidden="0" customWidth="1"/>
    <x:col min="5" max="5" width="22.700000762939453" hidden="0" customWidth="1"/>
    <x:col min="6" max="6" width="52.220001220703125" hidden="0" customWidth="1"/>
  </x:cols>
  <x:sheetData>
    <x:row r="1" ht="32" hidden="0" customHeight="1">
      <x:c r="A1" s="14" t="s">
        <x:v>226</x:v>
      </x:c>
      <x:c r="B1" s="14"/>
      <x:c r="C1" s="14"/>
      <x:c r="D1" s="14"/>
      <x:c r="E1" s="14"/>
      <x:c r="F1" s="14"/>
    </x:row>
    <x:row r="2" ht="30" hidden="0" customHeight="1">
      <x:c r="A2" s="2" t="str">
        <x:v>Aggregate reconciliation remains authoritative after the 13 August 2026 public-source freshness pass: 108 unique canonical repositories, five current additions, one explicit presentation exclusion, and zero fork rows.</x:v>
      </x:c>
      <x:c r="B2" s="2"/>
      <x:c r="C2" s="2"/>
      <x:c r="D2" s="2"/>
      <x:c r="E2" s="2"/>
      <x:c r="F2" s="2"/>
    </x:row>
    <x:row r="3" ht="15" hidden="0">
      <x:c r="A3" s="3"/>
      <x:c r="B3" s="3"/>
      <x:c r="C3" s="3"/>
      <x:c r="D3" s="3"/>
      <x:c r="E3" s="3"/>
      <x:c r="F3" s="3"/>
    </x:row>
    <x:row r="4" ht="30" hidden="0" customHeight="1">
      <x:c r="A4" s="13" t="s">
        <x:v>227</x:v>
      </x:c>
      <x:c r="B4" s="13"/>
      <x:c r="C4" s="13"/>
      <x:c r="D4" s="13"/>
      <x:c r="E4" s="13"/>
      <x:c r="F4" s="13"/>
    </x:row>
    <x:row r="5" ht="30" hidden="0" customHeight="1">
      <x:c r="A5" s="15" t="s">
        <x:v>228</x:v>
      </x:c>
      <x:c r="B5" s="15" t="s">
        <x:v>229</x:v>
      </x:c>
      <x:c r="C5" s="15" t="s">
        <x:v>230</x:v>
      </x:c>
      <x:c r="D5" s="15" t="s">
        <x:v>231</x:v>
      </x:c>
      <x:c r="E5" s="15" t="s">
        <x:v>232</x:v>
      </x:c>
      <x:c r="F5" s="15" t="s">
        <x:v>233</x:v>
      </x:c>
    </x:row>
    <x:row r="6" ht="48" hidden="0" customHeight="1">
      <x:c r="A6" s="11" t="s">
        <x:v>234</x:v>
      </x:c>
      <x:c r="B6" s="30" t="n">
        <x:v>268</x:v>
      </x:c>
      <x:c r="C6" s="11" t="s">
        <x:v>235</x:v>
      </x:c>
      <x:c r="D6" s="11" t="s">
        <x:v>236</x:v>
      </x:c>
      <x:c r="E6" s="11" t="s">
        <x:v>237</x:v>
      </x:c>
      <x:c r="F6" s="11" t="s">
        <x:v>238</x:v>
      </x:c>
    </x:row>
    <x:row r="7" ht="48" hidden="0" customHeight="1">
      <x:c r="A7" s="11" t="s">
        <x:v>239</x:v>
      </x:c>
      <x:c r="B7" s="30" t="n">
        <x:v>141</x:v>
      </x:c>
      <x:c r="C7" s="11" t="s">
        <x:v>240</x:v>
      </x:c>
      <x:c r="D7" s="11" t="s">
        <x:v>241</x:v>
      </x:c>
      <x:c r="E7" s="11" t="s">
        <x:v>237</x:v>
      </x:c>
      <x:c r="F7" s="11" t="s">
        <x:v>242</x:v>
      </x:c>
    </x:row>
    <x:row r="8" ht="48" hidden="0" customHeight="1">
      <x:c r="A8" s="11" t="s">
        <x:v>243</x:v>
      </x:c>
      <x:c r="B8" s="30" t="n">
        <x:v>9</x:v>
      </x:c>
      <x:c r="C8" s="11" t="s">
        <x:v>244</x:v>
      </x:c>
      <x:c r="D8" s="11" t="s">
        <x:v>245</x:v>
      </x:c>
      <x:c r="E8" s="11" t="s">
        <x:v>237</x:v>
      </x:c>
      <x:c r="F8" s="11" t="s">
        <x:v>246</x:v>
      </x:c>
    </x:row>
    <x:row r="9" ht="48" hidden="0" customHeight="1">
      <x:c r="A9" s="11" t="s">
        <x:v>247</x:v>
      </x:c>
      <x:c r="B9" s="30" t="n">
        <x:v>14</x:v>
      </x:c>
      <x:c r="C9" s="11" t="s">
        <x:v>248</x:v>
      </x:c>
      <x:c r="D9" s="11" t="s">
        <x:v>249</x:v>
      </x:c>
      <x:c r="E9" s="11" t="s">
        <x:v>237</x:v>
      </x:c>
      <x:c r="F9" s="11" t="s">
        <x:v>250</x:v>
      </x:c>
    </x:row>
    <x:row r="10" ht="48" hidden="0" customHeight="1">
      <x:c r="A10" s="11" t="s">
        <x:v>251</x:v>
      </x:c>
      <x:c r="B10" s="30" t="n">
        <x:v>104</x:v>
      </x:c>
      <x:c r="C10" s="11" t="s">
        <x:v>252</x:v>
      </x:c>
      <x:c r="D10" s="11" t="s">
        <x:v>253</x:v>
      </x:c>
      <x:c r="E10" s="11" t="s">
        <x:v>254</x:v>
      </x:c>
      <x:c r="F10" s="11" t="s">
        <x:v>255</x:v>
      </x:c>
    </x:row>
    <x:row r="11" ht="48" hidden="0" customHeight="1">
      <x:c r="A11" s="11" t="str">
        <x:v>Current source-reviewed records added</x:v>
      </x:c>
      <x:c r="B11" s="30" t="n">
        <x:v>5</x:v>
      </x:c>
      <x:c r="C11" s="11" t="str">
        <x:v>104 + 5 = 109</x:v>
      </x:c>
      <x:c r="D11" s="11" t="str">
        <x:v>Joomla MCP, OpenCode Platform, Colibri Setup, GetBible Sword and GetBible Scripture.</x:v>
      </x:c>
      <x:c r="E11" s="11" t="str">
        <x:v>Yes</x:v>
      </x:c>
      <x:c r="F11" s="11" t="str">
        <x:v>Current additions</x:v>
      </x:c>
    </x:row>
    <x:row r="12" ht="48" hidden="0" customHeight="1">
      <x:c r="A12" s="11" t="str">
        <x:v>Presentation exclusion applied</x:v>
      </x:c>
      <x:c r="B12" s="30" t="n">
        <x:v>1</x:v>
      </x:c>
      <x:c r="C12" s="11" t="str">
        <x:v>109 − 1 = 108</x:v>
      </x:c>
      <x:c r="D12" s="11" t="str">
        <x:v>A deprecated organisation lineage was removed from all source and presentation data.</x:v>
      </x:c>
      <x:c r="E12" s="11" t="str">
        <x:v>No</x:v>
      </x:c>
      <x:c r="F12" s="11" t="str">
        <x:v>Explicit authority</x:v>
      </x:c>
    </x:row>
    <x:row r="13" ht="48" hidden="0" customHeight="1">
      <x:c r="A13" s="11" t="str">
        <x:v>Final canonical repository records</x:v>
      </x:c>
      <x:c r="B13" s="30" t="n">
        <x:v>108</x:v>
      </x:c>
      <x:c r="C13" s="11" t="str">
        <x:v>108 unique names</x:v>
      </x:c>
      <x:c r="D13" s="11" t="str">
        <x:v>Authoritative repository count in this workbook.</x:v>
      </x:c>
      <x:c r="E13" s="11" t="str">
        <x:v>Yes</x:v>
      </x:c>
      <x:c r="F13" s="11" t="str">
        <x:v>Final</x:v>
      </x:c>
    </x:row>
    <x:row r="14" ht="15" hidden="0">
      <x:c r="A14" s="3" t="str">
        <x:v>Fork records present in canonical register</x:v>
      </x:c>
      <x:c r="B14" s="3" t="n">
        <x:v>0</x:v>
      </x:c>
      <x:c r="C14" s="3" t="str">
        <x:v>Required control</x:v>
      </x:c>
      <x:c r="D14" s="3" t="str">
        <x:v>No fork repository names or rows are carried into the final register.</x:v>
      </x:c>
      <x:c r="E14" s="3" t="str">
        <x:v>No</x:v>
      </x:c>
      <x:c r="F14" s="3" t="str">
        <x:v>Pass</x:v>
      </x:c>
    </x:row>
    <x:row r="15" ht="15" hidden="0">
      <x:c r="A15" s="3"/>
      <x:c r="B15" s="3"/>
      <x:c r="C15" s="3"/>
      <x:c r="D15" s="3"/>
      <x:c r="E15" s="3"/>
      <x:c r="F15" s="3"/>
    </x:row>
    <x:row r="16" ht="30" hidden="0" customHeight="1">
      <x:c r="A16" s="29" t="s">
        <x:v>256</x:v>
      </x:c>
      <x:c r="B16" s="29"/>
      <x:c r="C16" s="29"/>
      <x:c r="D16" s="29"/>
      <x:c r="E16" s="29"/>
      <x:c r="F16" s="29"/>
    </x:row>
    <x:row r="17" ht="30" hidden="0" customHeight="1">
      <x:c r="A17" s="15" t="s">
        <x:v>6</x:v>
      </x:c>
      <x:c r="B17" s="15" t="s">
        <x:v>27</x:v>
      </x:c>
      <x:c r="C17" s="15" t="s">
        <x:v>257</x:v>
      </x:c>
      <x:c r="D17" s="15" t="s">
        <x:v>258</x:v>
      </x:c>
      <x:c r="E17" s="15" t="s">
        <x:v>31</x:v>
      </x:c>
      <x:c r="F17" s="15" t="s">
        <x:v>11</x:v>
      </x:c>
    </x:row>
    <x:row r="18" ht="38" hidden="0" customHeight="1">
      <x:c r="A18" s="11" t="s">
        <x:v>259</x:v>
      </x:c>
      <x:c r="B18" s="11" t="s">
        <x:v>260</x:v>
      </x:c>
      <x:c r="C18" s="17" t="n">
        <x:v>46226</x:v>
      </x:c>
      <x:c r="D18" s="17" t="n">
        <x:v>46229</x:v>
      </x:c>
      <x:c r="E18" s="30" t="n">
        <x:v>83</x:v>
      </x:c>
      <x:c r="F18" s="12" t="s">
        <x:v>261</x:v>
      </x:c>
    </x:row>
    <x:row r="19" ht="38" hidden="0" customHeight="1">
      <x:c r="A19" s="11" t="s">
        <x:v>262</x:v>
      </x:c>
      <x:c r="B19" s="11" t="s">
        <x:v>263</x:v>
      </x:c>
      <x:c r="C19" s="17" t="n">
        <x:v>46225</x:v>
      </x:c>
      <x:c r="D19" s="33" t="n">
        <x:v>46232</x:v>
      </x:c>
      <x:c r="E19" s="30" t="n">
        <x:v>41</x:v>
      </x:c>
      <x:c r="F19" s="12" t="s">
        <x:v>264</x:v>
      </x:c>
    </x:row>
    <x:row r="20" ht="38" hidden="0" customHeight="1">
      <x:c r="A20" s="11" t="s">
        <x:v>265</x:v>
      </x:c>
      <x:c r="B20" s="11" t="s">
        <x:v>263</x:v>
      </x:c>
      <x:c r="C20" s="17" t="n">
        <x:v>46230</x:v>
      </x:c>
      <x:c r="D20" s="33" t="n">
        <x:v>46232</x:v>
      </x:c>
      <x:c r="E20" s="30" t="n">
        <x:v>53</x:v>
      </x:c>
      <x:c r="F20" s="12" t="s">
        <x:v>266</x:v>
      </x:c>
    </x:row>
    <x:row r="21" ht="38" hidden="0" customHeight="1">
      <x:c r="A21" s="11" t="s">
        <x:v>267</x:v>
      </x:c>
      <x:c r="B21" s="11" t="s">
        <x:v>268</x:v>
      </x:c>
      <x:c r="C21" s="17" t="n">
        <x:v>46226</x:v>
      </x:c>
      <x:c r="D21" s="17" t="n">
        <x:v>46229</x:v>
      </x:c>
      <x:c r="E21" s="30" t="n">
        <x:v>41</x:v>
      </x:c>
      <x:c r="F21" s="12" t="s">
        <x:v>269</x:v>
      </x:c>
    </x:row>
    <x:row r="22" ht="38" hidden="0" customHeight="1">
      <x:c r="A22" s="11" t="s">
        <x:v>270</x:v>
      </x:c>
      <x:c r="B22" s="11" t="s">
        <x:v>268</x:v>
      </x:c>
      <x:c r="C22" s="17" t="n">
        <x:v>46229</x:v>
      </x:c>
      <x:c r="D22" s="17" t="n">
        <x:v>46229</x:v>
      </x:c>
      <x:c r="E22" s="30" t="n">
        <x:v>23</x:v>
      </x:c>
      <x:c r="F22" s="12" t="s">
        <x:v>271</x:v>
      </x:c>
    </x:row>
  </x:sheetData>
  <x:mergeCells>
    <x:mergeCell ref="A1:F1"/>
    <x:mergeCell ref="A2:F2"/>
    <x:mergeCell ref="A4:F4"/>
    <x:mergeCell ref="A16:F16"/>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9.7578125" defaultRowHeight="15"/>
  <x:cols>
    <x:col min="1" max="1" width="31.780000686645508" hidden="0" customWidth="1"/>
    <x:col min="2" max="3" width="13.619999885559082" hidden="0" customWidth="1"/>
    <x:col min="4" max="5" width="15.890000343322754" hidden="0" customWidth="1"/>
    <x:col min="6" max="6" width="62.43000030517578" hidden="0" customWidth="1"/>
    <x:col min="7" max="7" width="54.4900016784668" hidden="0" customWidth="1"/>
    <x:col min="8" max="8" width="29.520000457763672" hidden="0" customWidth="1"/>
  </x:cols>
  <x:sheetData>
    <x:row r="1" ht="32" hidden="0" customHeight="1">
      <x:c r="A1" s="14" t="s">
        <x:v>272</x:v>
      </x:c>
      <x:c r="B1" s="14"/>
      <x:c r="C1" s="14"/>
      <x:c r="D1" s="14"/>
      <x:c r="E1" s="14"/>
      <x:c r="F1" s="14"/>
      <x:c r="G1" s="14"/>
      <x:c r="H1" s="14"/>
    </x:row>
    <x:row r="2" ht="34" hidden="0" customHeight="1">
      <x:c r="A2" s="2" t="str">
        <x:v>Separate, non-overlapping sermon bodies: 444 audio records (249.67 hours) + 387 church-channel videos (438.86 hours) = approximately 831 sermons and 688.53 hours (approximately 689) across 8 years.</x:v>
      </x:c>
      <x:c r="B2" s="2"/>
      <x:c r="C2" s="2"/>
      <x:c r="D2" s="2"/>
      <x:c r="E2" s="2"/>
      <x:c r="F2" s="2"/>
      <x:c r="G2" s="2"/>
      <x:c r="H2" s="2"/>
    </x:row>
    <x:row r="3" ht="15" hidden="0">
      <x:c r="A3" s="3"/>
      <x:c r="B3" s="3"/>
      <x:c r="C3" s="3"/>
      <x:c r="D3" s="3"/>
      <x:c r="E3" s="3"/>
      <x:c r="F3" s="3"/>
      <x:c r="G3" s="3"/>
      <x:c r="H3" s="3"/>
    </x:row>
    <x:row r="4" ht="15" hidden="0">
      <x:c r="A4" s="15" t="s">
        <x:v>273</x:v>
      </x:c>
      <x:c r="B4" s="15" t="s">
        <x:v>229</x:v>
      </x:c>
      <x:c r="C4" s="15" t="s">
        <x:v>274</x:v>
      </x:c>
      <x:c r="D4" s="15" t="s">
        <x:v>275</x:v>
      </x:c>
      <x:c r="E4" s="15" t="s">
        <x:v>276</x:v>
      </x:c>
      <x:c r="F4" s="15" t="s">
        <x:v>277</x:v>
      </x:c>
      <x:c r="G4" s="15" t="s">
        <x:v>278</x:v>
      </x:c>
      <x:c r="H4" s="15" t="s">
        <x:v>279</x:v>
      </x:c>
    </x:row>
    <x:row r="5" ht="68" hidden="0" customHeight="1">
      <x:c r="A5" s="11" t="s">
        <x:v>280</x:v>
      </x:c>
      <x:c r="B5" s="31" t="n">
        <x:v>444</x:v>
      </x:c>
      <x:c r="C5" s="31" t="n">
        <x:v>249.6677777778</x:v>
      </x:c>
      <x:c r="D5" s="17" t="n">
        <x:v>44210</x:v>
      </x:c>
      <x:c r="E5" s="17" t="n">
        <x:v>46001</x:v>
      </x:c>
      <x:c r="F5" s="11" t="str">
        <x:v>Distinct audio recordings within the supplied archive; 437 recordings are at least twenty minutes. These messages are separate from the public YouTube playlist.</x:v>
      </x:c>
      <x:c r="G5" s="12" t="s">
        <x:v>281</x:v>
      </x:c>
      <x:c r="H5" s="11" t="str">
        <x:v>High within supplied archive; distinct from playlist confirmed by source owner</x:v>
      </x:c>
    </x:row>
    <x:row r="6" ht="68" hidden="0" customHeight="1">
      <x:c r="A6" s="11" t="s">
        <x:v>282</x:v>
      </x:c>
      <x:c r="B6" s="31" t="n">
        <x:v>387</x:v>
      </x:c>
      <x:c r="C6" s="31" t="n">
        <x:v>438.8588888889</x:v>
      </x:c>
      <x:c r="D6" s="17" t="n">
        <x:v>43226</x:v>
      </x:c>
      <x:c r="E6" s="17" t="n">
        <x:v>44976</x:v>
      </x:c>
      <x:c r="F6" s="11" t="str">
        <x:v>Unique public Brother Llewellyn playlist videos on the church channel. These messages are separate from the supplied audio archive; duration uses displayed rounded labels.</x:v>
      </x:c>
      <x:c r="G6" s="12" t="s">
        <x:v>198</x:v>
      </x:c>
      <x:c r="H6" s="11" t="str">
        <x:v>High as of original audit date; distinct from archive confirmed by source owner</x:v>
      </x:c>
    </x:row>
    <x:row r="7" ht="68" hidden="0" customHeight="1">
      <x:c r="A7" s="44" t="str">
        <x:v>Combined sermon record</x:v>
      </x:c>
      <x:c r="B7" s="45" t="n">
        <x:f>B5+B6</x:f>
        <x:v>831</x:v>
      </x:c>
      <x:c r="C7" s="45" t="n">
        <x:f>C5+C6</x:f>
        <x:v>688.5266666667001</x:v>
      </x:c>
      <x:c r="D7" s="46" t="n">
        <x:f>MIN(D5:D6)</x:f>
        <x:v>43226</x:v>
      </x:c>
      <x:c r="E7" s="46" t="n">
        <x:f>MAX(E5:E6)</x:f>
        <x:v>46001</x:v>
      </x:c>
      <x:c r="F7" s="44" t="str">
        <x:v>The two bodies contain different messages and are additive: approximately 831 sermons and 688.53 hours (approximately 689) across 8 calendar years.</x:v>
      </x:c>
      <x:c r="G7" s="44" t="str">
        <x:v>Source-owner correction, 29 July 2026</x:v>
      </x:c>
      <x:c r="H7" s="44" t="str">
        <x:v>Confirmed distinct bodies</x:v>
      </x:c>
    </x:row>
    <x:row r="8" ht="15" hidden="0">
      <x:c r="A8" s="3"/>
      <x:c r="B8" s="3"/>
      <x:c r="C8" s="3"/>
      <x:c r="D8" s="3"/>
      <x:c r="E8" s="3"/>
      <x:c r="F8" s="3"/>
      <x:c r="G8" s="3"/>
      <x:c r="H8" s="3"/>
    </x:row>
    <x:row r="9" ht="28" hidden="0" customHeight="1">
      <x:c r="A9" s="29" t="s">
        <x:v>283</x:v>
      </x:c>
      <x:c r="B9" s="29"/>
      <x:c r="C9" s="29"/>
      <x:c r="D9" s="29"/>
      <x:c r="E9" s="29"/>
      <x:c r="F9" s="29"/>
      <x:c r="G9" s="29"/>
      <x:c r="H9" s="29"/>
    </x:row>
    <x:row r="10" ht="28" hidden="0" customHeight="1">
      <x:c r="A10" s="15" t="s">
        <x:v>284</x:v>
      </x:c>
      <x:c r="B10" s="15" t="s">
        <x:v>285</x:v>
      </x:c>
      <x:c r="C10" s="15" t="s">
        <x:v>274</x:v>
      </x:c>
      <x:c r="D10" s="15" t="s">
        <x:v>286</x:v>
      </x:c>
      <x:c r="E10" s="3"/>
      <x:c r="F10" s="3"/>
      <x:c r="G10" s="3"/>
      <x:c r="H10" s="3"/>
    </x:row>
    <x:row r="11" ht="34" hidden="0" customHeight="1">
      <x:c r="A11" s="11" t="n">
        <x:v>2021</x:v>
      </x:c>
      <x:c r="B11" s="11" t="n">
        <x:v>11</x:v>
      </x:c>
      <x:c r="C11" s="11" t="n">
        <x:v>2.02</x:v>
      </x:c>
      <x:c r="D11" s="11" t="s">
        <x:v>287</x:v>
      </x:c>
      <x:c r="E11" s="3"/>
      <x:c r="F11" s="3"/>
      <x:c r="G11" s="3"/>
      <x:c r="H11" s="3"/>
    </x:row>
    <x:row r="12" ht="34" hidden="0" customHeight="1">
      <x:c r="A12" s="11" t="n">
        <x:v>2022</x:v>
      </x:c>
      <x:c r="B12" s="11" t="n">
        <x:v>12</x:v>
      </x:c>
      <x:c r="C12" s="11" t="n">
        <x:v>13.69</x:v>
      </x:c>
      <x:c r="D12" s="11" t="s">
        <x:v>288</x:v>
      </x:c>
      <x:c r="E12" s="3"/>
      <x:c r="F12" s="3"/>
      <x:c r="G12" s="3"/>
      <x:c r="H12" s="3"/>
    </x:row>
    <x:row r="13" ht="34" hidden="0" customHeight="1">
      <x:c r="A13" s="11" t="n">
        <x:v>2023</x:v>
      </x:c>
      <x:c r="B13" s="11" t="n">
        <x:v>122</x:v>
      </x:c>
      <x:c r="C13" s="11" t="n">
        <x:v>74.92</x:v>
      </x:c>
      <x:c r="D13" s="11" t="s">
        <x:v>289</x:v>
      </x:c>
      <x:c r="E13" s="3"/>
      <x:c r="F13" s="3"/>
      <x:c r="G13" s="3"/>
      <x:c r="H13" s="3"/>
    </x:row>
    <x:row r="14" ht="34" hidden="0" customHeight="1">
      <x:c r="A14" s="11" t="n">
        <x:v>2024</x:v>
      </x:c>
      <x:c r="B14" s="11" t="n">
        <x:v>141</x:v>
      </x:c>
      <x:c r="C14" s="11" t="n">
        <x:v>77.43</x:v>
      </x:c>
      <x:c r="D14" s="11" t="s">
        <x:v>290</x:v>
      </x:c>
      <x:c r="E14" s="3"/>
      <x:c r="F14" s="3"/>
      <x:c r="G14" s="3"/>
      <x:c r="H14" s="3"/>
    </x:row>
    <x:row r="15" ht="34" hidden="0" customHeight="1">
      <x:c r="A15" s="11" t="n">
        <x:v>2025</x:v>
      </x:c>
      <x:c r="B15" s="11" t="n">
        <x:v>158</x:v>
      </x:c>
      <x:c r="C15" s="11" t="n">
        <x:v>81.61</x:v>
      </x:c>
      <x:c r="D15" s="11" t="s">
        <x:v>291</x:v>
      </x:c>
      <x:c r="E15" s="3"/>
      <x:c r="F15" s="3"/>
      <x:c r="G15" s="3"/>
      <x:c r="H15" s="3"/>
    </x:row>
  </x:sheetData>
  <x:mergeCells>
    <x:mergeCell ref="A1:H1"/>
    <x:mergeCell ref="A2:H2"/>
    <x:mergeCell ref="A9:H9"/>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9.7578125" defaultRowHeight="15"/>
  <x:cols>
    <x:col min="1" max="1" width="27.239999771118164" hidden="0" customWidth="1"/>
    <x:col min="2" max="2" width="35.189998626708984" hidden="0" customWidth="1"/>
    <x:col min="3" max="3" width="59.029998779296875" hidden="0" customWidth="1"/>
    <x:col min="4" max="4" width="65.83999633789062" hidden="0" customWidth="1"/>
    <x:col min="5" max="5" width="14.760000228881836" hidden="0" customWidth="1"/>
    <x:col min="6" max="6" width="59.029998779296875" hidden="0" customWidth="1"/>
  </x:cols>
  <x:sheetData>
    <x:row r="1" ht="32" hidden="0" customHeight="1">
      <x:c r="A1" s="14" t="s">
        <x:v>292</x:v>
      </x:c>
      <x:c r="B1" s="14"/>
      <x:c r="C1" s="14"/>
      <x:c r="D1" s="14"/>
      <x:c r="E1" s="14"/>
      <x:c r="F1" s="14"/>
    </x:row>
    <x:row r="2" ht="30" hidden="0" customHeight="1">
      <x:c r="A2" s="2" t="s">
        <x:v>293</x:v>
      </x:c>
      <x:c r="B2" s="2"/>
      <x:c r="C2" s="2"/>
      <x:c r="D2" s="2"/>
      <x:c r="E2" s="2"/>
      <x:c r="F2" s="2"/>
    </x:row>
    <x:row r="3" ht="15" hidden="0">
      <x:c r="A3" s="3"/>
      <x:c r="B3" s="3"/>
      <x:c r="C3" s="3"/>
      <x:c r="D3" s="3"/>
      <x:c r="E3" s="3"/>
      <x:c r="F3" s="3"/>
    </x:row>
    <x:row r="4" ht="32" hidden="0" customHeight="1">
      <x:c r="A4" s="15" t="s">
        <x:v>294</x:v>
      </x:c>
      <x:c r="B4" s="15" t="s">
        <x:v>278</x:v>
      </x:c>
      <x:c r="C4" s="15" t="s">
        <x:v>295</x:v>
      </x:c>
      <x:c r="D4" s="15" t="s">
        <x:v>296</x:v>
      </x:c>
      <x:c r="E4" s="15" t="s">
        <x:v>297</x:v>
      </x:c>
      <x:c r="F4" s="15" t="s">
        <x:v>298</x:v>
      </x:c>
    </x:row>
    <x:row r="5" ht="52" hidden="0" customHeight="1">
      <x:c r="A5" s="11" t="s">
        <x:v>299</x:v>
      </x:c>
      <x:c r="B5" s="11" t="s">
        <x:v>300</x:v>
      </x:c>
      <x:c r="C5" s="11" t="s">
        <x:v>301</x:v>
      </x:c>
      <x:c r="D5" s="12" t="str">
        <x:v>Llewellyn_van_der_Merwe_Executive_CV.pdf</x:v>
      </x:c>
      <x:c r="E5" s="49" t="n">
        <x:v>46232</x:v>
      </x:c>
      <x:c r="F5" s="11" t="str">
        <x:v>Factual source only; not a design template. Obsolete contact data is revoked.</x:v>
      </x:c>
    </x:row>
    <x:row r="6" ht="52" hidden="0" customHeight="1">
      <x:c r="A6" s="11" t="s">
        <x:v>299</x:v>
      </x:c>
      <x:c r="B6" s="11" t="s">
        <x:v>173</x:v>
      </x:c>
      <x:c r="C6" s="11" t="s">
        <x:v>302</x:v>
      </x:c>
      <x:c r="D6" s="12" t="str">
        <x:v>Llewellyn_van_der_Merwe_Professional_Dossier.pdf</x:v>
      </x:c>
      <x:c r="E6" s="49" t="n">
        <x:v>46232</x:v>
      </x:c>
      <x:c r="F6" s="11" t="s">
        <x:v>303</x:v>
      </x:c>
    </x:row>
    <x:row r="7" ht="52" hidden="0" customHeight="1">
      <x:c r="A7" s="11" t="s">
        <x:v>299</x:v>
      </x:c>
      <x:c r="B7" s="11" t="str">
        <x:v>Canonical Evidence Ledger — current edition</x:v>
      </x:c>
      <x:c r="C7" s="11" t="str">
        <x:v>Reconciled 108-record repository authority, 13 flagship records, dated metrics, professional record and source register</x:v>
      </x:c>
      <x:c r="D7" s="12" t="str">
        <x:v>sources/Evidence_Ledger.xlsx</x:v>
      </x:c>
      <x:c r="E7" s="49" t="n">
        <x:v>46247</x:v>
      </x:c>
      <x:c r="F7" s="11" t="str">
        <x:v>Current through the 13 August 2026 Kumwe CMS review and explicit presentation-scope exclusion; no raw fork or duplicate inventory is restored.</x:v>
      </x:c>
    </x:row>
    <x:row r="8" ht="52" hidden="0" customHeight="1">
      <x:c r="A8" s="11" t="s">
        <x:v>65</x:v>
      </x:c>
      <x:c r="B8" s="11" t="s">
        <x:v>304</x:v>
      </x:c>
      <x:c r="C8" s="11" t="s">
        <x:v>305</x:v>
      </x:c>
      <x:c r="D8" s="12" t="s">
        <x:v>67</x:v>
      </x:c>
      <x:c r="E8" s="49" t="n">
        <x:v>46231</x:v>
      </x:c>
      <x:c r="F8" s="11" t="s">
        <x:v>306</x:v>
      </x:c>
    </x:row>
    <x:row r="9" ht="52" hidden="0" customHeight="1">
      <x:c r="A9" s="11" t="s">
        <x:v>65</x:v>
      </x:c>
      <x:c r="B9" s="11" t="s">
        <x:v>307</x:v>
      </x:c>
      <x:c r="C9" s="11" t="s">
        <x:v>308</x:v>
      </x:c>
      <x:c r="D9" s="12" t="s">
        <x:v>309</x:v>
      </x:c>
      <x:c r="E9" s="49" t="n">
        <x:v>46231</x:v>
      </x:c>
      <x:c r="F9" s="11" t="s">
        <x:v>310</x:v>
      </x:c>
    </x:row>
    <x:row r="10" ht="52" hidden="0" customHeight="1">
      <x:c r="A10" s="11" t="s">
        <x:v>65</x:v>
      </x:c>
      <x:c r="B10" s="11" t="str">
        <x:v>Production master prompt source</x:v>
      </x:c>
      <x:c r="C10" s="11" t="s">
        <x:v>311</x:v>
      </x:c>
      <x:c r="D10" s="12" t="str">
        <x:v>Pasted markdown.md</x:v>
      </x:c>
      <x:c r="E10" s="49" t="n">
        <x:v>46232</x:v>
      </x:c>
      <x:c r="F10" s="11" t="str">
        <x:v>Resolved and expanded into the dated final production prompt.</x:v>
      </x:c>
    </x:row>
    <x:row r="11" ht="52" hidden="0" customHeight="1">
      <x:c r="A11" s="11" t="s">
        <x:v>312</x:v>
      </x:c>
      <x:c r="B11" s="11" t="s">
        <x:v>313</x:v>
      </x:c>
      <x:c r="C11" s="11" t="s">
        <x:v>314</x:v>
      </x:c>
      <x:c r="D11" s="12" t="s">
        <x:v>214</x:v>
      </x:c>
      <x:c r="E11" s="49" t="n">
        <x:v>46232</x:v>
      </x:c>
      <x:c r="F11" s="11" t="str">
        <x:v>Use as light-mode design reference. Existing site contact metadata is not authoritative for the CV publications.</x:v>
      </x:c>
    </x:row>
    <x:row r="12" ht="52" hidden="0" customHeight="1">
      <x:c r="A12" s="11" t="s">
        <x:v>312</x:v>
      </x:c>
      <x:c r="B12" s="11" t="s">
        <x:v>315</x:v>
      </x:c>
      <x:c r="C12" s="11" t="s">
        <x:v>316</x:v>
      </x:c>
      <x:c r="D12" s="12" t="s">
        <x:v>317</x:v>
      </x:c>
      <x:c r="E12" s="49" t="n">
        <x:v>46232</x:v>
      </x:c>
      <x:c r="F12" s="11" t="str">
        <x:v>Public portfolio source and visual authority; do not copy revoked phone or email metadata.</x:v>
      </x:c>
    </x:row>
    <x:row r="13" ht="52" hidden="0" customHeight="1">
      <x:c r="A13" s="11" t="s">
        <x:v>318</x:v>
      </x:c>
      <x:c r="B13" s="11" t="s">
        <x:v>319</x:v>
      </x:c>
      <x:c r="C13" s="11" t="s">
        <x:v>320</x:v>
      </x:c>
      <x:c r="D13" s="12" t="s">
        <x:v>95</x:v>
      </x:c>
      <x:c r="E13" s="49" t="n">
        <x:v>46231</x:v>
      </x:c>
      <x:c r="F13" s="11" t="s">
        <x:v>321</x:v>
      </x:c>
    </x:row>
    <x:row r="14" ht="52" hidden="0" customHeight="1">
      <x:c r="A14" s="11" t="s">
        <x:v>322</x:v>
      </x:c>
      <x:c r="B14" s="11" t="s">
        <x:v>323</x:v>
      </x:c>
      <x:c r="C14" s="11" t="s">
        <x:v>324</x:v>
      </x:c>
      <x:c r="D14" s="12" t="s">
        <x:v>325</x:v>
      </x:c>
      <x:c r="E14" s="49" t="n">
        <x:v>46232</x:v>
      </x:c>
      <x:c r="F14" s="11" t="s">
        <x:v>326</x:v>
      </x:c>
    </x:row>
    <x:row r="15" ht="52" hidden="0" customHeight="1">
      <x:c r="A15" s="11" t="s">
        <x:v>322</x:v>
      </x:c>
      <x:c r="B15" s="11" t="s">
        <x:v>327</x:v>
      </x:c>
      <x:c r="C15" s="11" t="s">
        <x:v>328</x:v>
      </x:c>
      <x:c r="D15" s="12" t="s">
        <x:v>329</x:v>
      </x:c>
      <x:c r="E15" s="49" t="n">
        <x:v>46232</x:v>
      </x:c>
      <x:c r="F15" s="11" t="s">
        <x:v>330</x:v>
      </x:c>
    </x:row>
    <x:row r="16" ht="52" hidden="0" customHeight="1">
      <x:c r="A16" s="11" t="s">
        <x:v>322</x:v>
      </x:c>
      <x:c r="B16" s="11" t="s">
        <x:v>331</x:v>
      </x:c>
      <x:c r="C16" s="11" t="s">
        <x:v>332</x:v>
      </x:c>
      <x:c r="D16" s="12" t="s">
        <x:v>333</x:v>
      </x:c>
      <x:c r="E16" s="49" t="n">
        <x:v>46232</x:v>
      </x:c>
      <x:c r="F16" s="11" t="s">
        <x:v>334</x:v>
      </x:c>
    </x:row>
    <x:row r="17" ht="52" hidden="0" customHeight="1">
      <x:c r="A17" s="11" t="s">
        <x:v>322</x:v>
      </x:c>
      <x:c r="B17" s="11" t="s">
        <x:v>335</x:v>
      </x:c>
      <x:c r="C17" s="11" t="s">
        <x:v>336</x:v>
      </x:c>
      <x:c r="D17" s="12" t="s">
        <x:v>337</x:v>
      </x:c>
      <x:c r="E17" s="49" t="n">
        <x:v>46231</x:v>
      </x:c>
      <x:c r="F17" s="11" t="s">
        <x:v>338</x:v>
      </x:c>
    </x:row>
    <x:row r="18" ht="52" hidden="0" customHeight="1">
      <x:c r="A18" s="11" t="s">
        <x:v>322</x:v>
      </x:c>
      <x:c r="B18" s="11" t="s">
        <x:v>339</x:v>
      </x:c>
      <x:c r="C18" s="11" t="s">
        <x:v>340</x:v>
      </x:c>
      <x:c r="D18" s="12" t="s">
        <x:v>341</x:v>
      </x:c>
      <x:c r="E18" s="49" t="n">
        <x:v>46231</x:v>
      </x:c>
      <x:c r="F18" s="11" t="s">
        <x:v>342</x:v>
      </x:c>
    </x:row>
    <x:row r="19" ht="52" hidden="0" customHeight="1">
      <x:c r="A19" s="11" t="s">
        <x:v>6</x:v>
      </x:c>
      <x:c r="B19" s="11" t="s">
        <x:v>343</x:v>
      </x:c>
      <x:c r="C19" s="11" t="s">
        <x:v>344</x:v>
      </x:c>
      <x:c r="D19" s="12" t="s">
        <x:v>148</x:v>
      </x:c>
      <x:c r="E19" s="49" t="n">
        <x:v>46231</x:v>
      </x:c>
      <x:c r="F19" s="11" t="s">
        <x:v>345</x:v>
      </x:c>
    </x:row>
    <x:row r="20" ht="52" hidden="0" customHeight="1">
      <x:c r="A20" s="11" t="s">
        <x:v>6</x:v>
      </x:c>
      <x:c r="B20" s="11" t="s">
        <x:v>346</x:v>
      </x:c>
      <x:c r="C20" s="11" t="s">
        <x:v>347</x:v>
      </x:c>
      <x:c r="D20" s="12" t="s">
        <x:v>261</x:v>
      </x:c>
      <x:c r="E20" s="49" t="n">
        <x:v>46232</x:v>
      </x:c>
      <x:c r="F20" s="11" t="str">
        <x:v>83 commits in the complete default-branch history; public package 0.7.0 reviewed.</x:v>
      </x:c>
    </x:row>
    <x:row r="21" ht="52" hidden="0" customHeight="1">
      <x:c r="A21" s="11" t="s">
        <x:v>6</x:v>
      </x:c>
      <x:c r="B21" s="11" t="s">
        <x:v>348</x:v>
      </x:c>
      <x:c r="C21" s="11" t="s">
        <x:v>349</x:v>
      </x:c>
      <x:c r="D21" s="12" t="s">
        <x:v>350</x:v>
      </x:c>
      <x:c r="E21" s="49" t="n">
        <x:v>46231</x:v>
      </x:c>
      <x:c r="F21" s="11" t="s">
        <x:v>351</x:v>
      </x:c>
    </x:row>
    <x:row r="22" ht="52" hidden="0" customHeight="1">
      <x:c r="A22" s="11" t="s">
        <x:v>6</x:v>
      </x:c>
      <x:c r="B22" s="11" t="s">
        <x:v>352</x:v>
      </x:c>
      <x:c r="C22" s="11" t="s">
        <x:v>353</x:v>
      </x:c>
      <x:c r="D22" s="12" t="s">
        <x:v>354</x:v>
      </x:c>
      <x:c r="E22" s="49" t="n">
        <x:v>46231</x:v>
      </x:c>
      <x:c r="F22" s="11" t="s">
        <x:v>355</x:v>
      </x:c>
    </x:row>
    <x:row r="23" ht="52" hidden="0" customHeight="1">
      <x:c r="A23" s="11" t="s">
        <x:v>6</x:v>
      </x:c>
      <x:c r="B23" s="11" t="s">
        <x:v>356</x:v>
      </x:c>
      <x:c r="C23" s="11" t="s">
        <x:v>357</x:v>
      </x:c>
      <x:c r="D23" s="12" t="s">
        <x:v>358</x:v>
      </x:c>
      <x:c r="E23" s="49" t="n">
        <x:v>46231</x:v>
      </x:c>
      <x:c r="F23" s="11" t="s">
        <x:v>359</x:v>
      </x:c>
    </x:row>
    <x:row r="24" ht="52" hidden="0" customHeight="1">
      <x:c r="A24" s="11" t="s">
        <x:v>6</x:v>
      </x:c>
      <x:c r="B24" s="11" t="s">
        <x:v>360</x:v>
      </x:c>
      <x:c r="C24" s="11" t="s">
        <x:v>361</x:v>
      </x:c>
      <x:c r="D24" s="12" t="s">
        <x:v>362</x:v>
      </x:c>
      <x:c r="E24" s="49" t="n">
        <x:v>46231</x:v>
      </x:c>
      <x:c r="F24" s="11" t="s">
        <x:v>363</x:v>
      </x:c>
    </x:row>
    <x:row r="25" ht="52" hidden="0" customHeight="1">
      <x:c r="A25" s="11" t="s">
        <x:v>6</x:v>
      </x:c>
      <x:c r="B25" s="11" t="s">
        <x:v>364</x:v>
      </x:c>
      <x:c r="C25" s="11" t="s">
        <x:v>365</x:v>
      </x:c>
      <x:c r="D25" s="12" t="s">
        <x:v>366</x:v>
      </x:c>
      <x:c r="E25" s="49" t="n">
        <x:v>46232</x:v>
      </x:c>
      <x:c r="F25" s="11" t="str">
        <x:v>Current source review through 29 July 2026; Robot 2.1.0 multi-architecture images and current Mini App interaction evidence confirmed.</x:v>
      </x:c>
    </x:row>
    <x:row r="26" ht="52" hidden="0" customHeight="1">
      <x:c r="A26" s="11" t="s">
        <x:v>6</x:v>
      </x:c>
      <x:c r="B26" s="11" t="s">
        <x:v>367</x:v>
      </x:c>
      <x:c r="C26" s="11" t="s">
        <x:v>368</x:v>
      </x:c>
      <x:c r="D26" s="12" t="s">
        <x:v>269</x:v>
      </x:c>
      <x:c r="E26" s="49" t="n">
        <x:v>46232</x:v>
      </x:c>
      <x:c r="F26" s="11" t="s">
        <x:v>369</x:v>
      </x:c>
    </x:row>
    <x:row r="27" ht="52" hidden="0" customHeight="1">
      <x:c r="A27" s="11" t="s">
        <x:v>6</x:v>
      </x:c>
      <x:c r="B27" s="11" t="s">
        <x:v>370</x:v>
      </x:c>
      <x:c r="C27" s="11" t="s">
        <x:v>371</x:v>
      </x:c>
      <x:c r="D27" s="12" t="s">
        <x:v>271</x:v>
      </x:c>
      <x:c r="E27" s="49" t="n">
        <x:v>46232</x:v>
      </x:c>
      <x:c r="F27" s="11" t="s">
        <x:v>372</x:v>
      </x:c>
    </x:row>
    <x:row r="28" ht="52" hidden="0" customHeight="1">
      <x:c r="A28" s="11" t="s">
        <x:v>6</x:v>
      </x:c>
      <x:c r="B28" s="11" t="s">
        <x:v>373</x:v>
      </x:c>
      <x:c r="C28" s="11" t="s">
        <x:v>374</x:v>
      </x:c>
      <x:c r="D28" s="12" t="s">
        <x:v>264</x:v>
      </x:c>
      <x:c r="E28" s="49" t="n">
        <x:v>46232</x:v>
      </x:c>
      <x:c r="F28" s="11" t="str">
        <x:v>41 commits in the complete default-branch history through 29 July 2026.</x:v>
      </x:c>
    </x:row>
    <x:row r="29" ht="52" hidden="0" customHeight="1">
      <x:c r="A29" s="11" t="s">
        <x:v>6</x:v>
      </x:c>
      <x:c r="B29" s="11" t="s">
        <x:v>375</x:v>
      </x:c>
      <x:c r="C29" s="11" t="s">
        <x:v>376</x:v>
      </x:c>
      <x:c r="D29" s="12" t="s">
        <x:v>266</x:v>
      </x:c>
      <x:c r="E29" s="49" t="n">
        <x:v>46232</x:v>
      </x:c>
      <x:c r="F29" s="11" t="str">
        <x:v>53 commits in the complete default-branch history through 29 July 2026.</x:v>
      </x:c>
    </x:row>
    <x:row r="30" ht="52" hidden="0" customHeight="1">
      <x:c r="A30" s="11" t="s">
        <x:v>377</x:v>
      </x:c>
      <x:c r="B30" s="11" t="s">
        <x:v>378</x:v>
      </x:c>
      <x:c r="C30" s="11" t="s">
        <x:v>379</x:v>
      </x:c>
      <x:c r="D30" s="12" t="s">
        <x:v>155</x:v>
      </x:c>
      <x:c r="E30" s="49" t="n">
        <x:v>46221</x:v>
      </x:c>
      <x:c r="F30" s="11" t="s">
        <x:v>380</x:v>
      </x:c>
    </x:row>
    <x:row r="31" ht="52" hidden="0" customHeight="1">
      <x:c r="A31" s="11" t="s">
        <x:v>381</x:v>
      </x:c>
      <x:c r="B31" s="11" t="s">
        <x:v>382</x:v>
      </x:c>
      <x:c r="C31" s="11" t="s">
        <x:v>383</x:v>
      </x:c>
      <x:c r="D31" s="12" t="s">
        <x:v>384</x:v>
      </x:c>
      <x:c r="E31" s="49" t="n">
        <x:v>46221</x:v>
      </x:c>
      <x:c r="F31" s="11" t="s">
        <x:v>385</x:v>
      </x:c>
    </x:row>
    <x:row r="32" ht="52" hidden="0" customHeight="1">
      <x:c r="A32" s="11" t="s">
        <x:v>381</x:v>
      </x:c>
      <x:c r="B32" s="11" t="s">
        <x:v>386</x:v>
      </x:c>
      <x:c r="C32" s="11" t="s">
        <x:v>387</x:v>
      </x:c>
      <x:c r="D32" s="12" t="s">
        <x:v>388</x:v>
      </x:c>
      <x:c r="E32" s="49" t="n">
        <x:v>46221</x:v>
      </x:c>
      <x:c r="F32" s="11" t="s">
        <x:v>385</x:v>
      </x:c>
    </x:row>
    <x:row r="33" ht="52" hidden="0" customHeight="1">
      <x:c r="A33" s="11" t="s">
        <x:v>389</x:v>
      </x:c>
      <x:c r="B33" s="11" t="s">
        <x:v>390</x:v>
      </x:c>
      <x:c r="C33" s="11" t="s">
        <x:v>391</x:v>
      </x:c>
      <x:c r="D33" s="12" t="str">
        <x:v>https://www.eacmarkup.org/</x:v>
      </x:c>
      <x:c r="E33" s="49" t="n">
        <x:v>46221</x:v>
      </x:c>
      <x:c r="F33" s="11" t="s">
        <x:v>392</x:v>
      </x:c>
    </x:row>
    <x:row r="34" ht="52" hidden="0" customHeight="1">
      <x:c r="A34" s="11" t="s">
        <x:v>393</x:v>
      </x:c>
      <x:c r="B34" s="11" t="s">
        <x:v>394</x:v>
      </x:c>
      <x:c r="C34" s="11" t="s">
        <x:v>395</x:v>
      </x:c>
      <x:c r="D34" s="12" t="s">
        <x:v>198</x:v>
      </x:c>
      <x:c r="E34" s="49" t="n">
        <x:v>46221</x:v>
      </x:c>
      <x:c r="F34" s="11" t="str">
        <x:v>Confirmed by the source owner as a distinct sermon body; add to the supplied archive for approximately 831 sermons and 688.53 hours (approximately 689) across 8 years.</x:v>
      </x:c>
    </x:row>
    <x:row r="35" ht="42" customHeight="1">
      <x:c r="A35" s="35" t="str">
        <x:v>Portrait</x:v>
      </x:c>
      <x:c r="B35" s="35" t="str">
        <x:v>Natural wide portrait</x:v>
      </x:c>
      <x:c r="C35" s="35" t="str">
        <x:v>Preferred Exhaustive CV cover or section-opening portrait</x:v>
      </x:c>
      <x:c r="D35" s="35" t="str">
        <x:v>llewellyn_2024-11-25.jpg</x:v>
      </x:c>
      <x:c r="E35" s="50" t="n">
        <x:v>46232</x:v>
      </x:c>
      <x:c r="F35" s="35" t="str">
        <x:v>Natural 2024 image with wider composition and visible VDM branding; crop without distortion.</x:v>
      </x:c>
    </x:row>
    <x:row r="36" ht="42" customHeight="1">
      <x:c r="A36" s="35" t="str">
        <x:v>Portrait</x:v>
      </x:c>
      <x:c r="B36" s="35" t="str">
        <x:v>Natural square portrait</x:v>
      </x:c>
      <x:c r="C36" s="35" t="str">
        <x:v>Compact author/profile placement where a square composition is structurally superior</x:v>
      </x:c>
      <x:c r="D36" s="35" t="str">
        <x:v>llewellyn_2024-11-25_square.jpg</x:v>
      </x:c>
      <x:c r="E36" s="50" t="n">
        <x:v>46232</x:v>
      </x:c>
      <x:c r="F36" s="35" t="str">
        <x:v>Use as supplied rather than forcing a wide source into a small square.</x:v>
      </x:c>
    </x:row>
    <x:row r="37" ht="42" customHeight="1">
      <x:c r="A37" s="35" t="str">
        <x:v>Portrait</x:v>
      </x:c>
      <x:c r="B37" s="35" t="str">
        <x:v>Natural close portrait</x:v>
      </x:c>
      <x:c r="C37" s="35" t="str">
        <x:v>Preferred Executive CV cover portrait</x:v>
      </x:c>
      <x:c r="D37" s="35" t="str">
        <x:v>llewellyn_2024-11-25_closer.jpg</x:v>
      </x:c>
      <x:c r="E37" s="50" t="n">
        <x:v>46232</x:v>
      </x:c>
      <x:c r="F37" s="35" t="str">
        <x:v>Highest-resolution natural close composition; use a professional cover crop.</x:v>
      </x:c>
    </x:row>
    <x:row r="38" ht="42" customHeight="1">
      <x:c r="A38" s="35" t="str">
        <x:v>Portrait</x:v>
      </x:c>
      <x:c r="B38" s="35" t="str">
        <x:v>Stylised vertical portrait</x:v>
      </x:c>
      <x:c r="C38" s="35" t="str">
        <x:v>Optional Exhaustive CV mission/personal-foundation editorial accent</x:v>
      </x:c>
      <x:c r="D38" s="35" t="str">
        <x:v>photo_2021-01-25_13-41-17.jpg</x:v>
      </x:c>
      <x:c r="E38" s="50" t="n">
        <x:v>46232</x:v>
      </x:c>
      <x:c r="F38" s="35" t="str">
        <x:v>Never use as the principal professional portrait; omit if it weakens credibility or visual unity.</x:v>
      </x:c>
    </x:row>
    <x:row r="39" ht="42" customHeight="1">
      <x:c r="A39" s="35" t="str">
        <x:v>Portrait</x:v>
      </x:c>
      <x:c r="B39" s="35" t="str">
        <x:v>Stylised square portrait</x:v>
      </x:c>
      <x:c r="C39" s="35" t="str">
        <x:v>Optional compact Exhaustive CV editorial accent</x:v>
      </x:c>
      <x:c r="D39" s="35" t="str">
        <x:v>photo_2021-01-25_13-41-17_sqare.jpg</x:v>
      </x:c>
      <x:c r="E39" s="50" t="n">
        <x:v>46232</x:v>
      </x:c>
      <x:c r="F39" s="35" t="str">
        <x:v>Use at most one stylised image in the publication and only as a secondary accent.</x:v>
      </x:c>
    </x:row>
    <x:row r="40" ht="54" customHeight="1">
      <x:c r="A40" t="str">
        <x:v>Public repository</x:v>
      </x:c>
      <x:c r="B40" t="str">
        <x:v>Octodinator</x:v>
      </x:c>
      <x:c r="C40" t="str">
        <x:v>https://github.com/octoleo/octodinator</x:v>
      </x:c>
      <x:c r="D40" s="43" t="n">
        <x:v>46232</x:v>
      </x:c>
      <x:c r="E40" s="43" t="str">
        <x:v>Authored README and source</x:v>
      </x:c>
      <x:c r="F40" t="str">
        <x:v>Lifecycle coordination, lock state and OctoFlare integration.</x:v>
      </x:c>
    </x:row>
    <x:row r="41" ht="54" customHeight="1">
      <x:c r="A41" t="str">
        <x:v>Public repository</x:v>
      </x:c>
      <x:c r="B41" t="str">
        <x:v>GetBible Joomla Package</x:v>
      </x:c>
      <x:c r="C41" t="str">
        <x:v>https://github.com/getbible/joomla-pkg</x:v>
      </x:c>
      <x:c r="D41" s="43" t="n">
        <x:v>46232</x:v>
      </x:c>
      <x:c r="E41" s="43" t="str">
        <x:v>README, public history and package manifest</x:v>
      </x:c>
      <x:c r="F41" t="str">
        <x:v>Added in place of organisation-profile metadata; generated delivery is qualified.</x:v>
      </x:c>
    </x:row>
    <x:row r="42" ht="54" customHeight="1">
      <x:c r="A42" t="str">
        <x:v>Public repository</x:v>
      </x:c>
      <x:c r="B42" t="str">
        <x:v>JCB Package</x:v>
      </x:c>
      <x:c r="C42" t="str">
        <x:v>https://github.com/joomengine/pkg-component-builder</x:v>
      </x:c>
      <x:c r="D42" s="43" t="n">
        <x:v>46232</x:v>
      </x:c>
      <x:c r="E42" s="43" t="str">
        <x:v>README and package manifest</x:v>
      </x:c>
      <x:c r="F42" t="str">
        <x:v>Joomla 6 release bundle and eighteen-extension packaging surface.</x:v>
      </x:c>
    </x:row>
    <x:row r="43" ht="54" customHeight="1">
      <x:c r="A43" t="str">
        <x:v>Public repository</x:v>
      </x:c>
      <x:c r="B43" t="str">
        <x:v>Service Directory Package</x:v>
      </x:c>
      <x:c r="C43" t="str">
        <x:v>https://github.com/joomengine/pkg-servicedirectory</x:v>
      </x:c>
      <x:c r="D43" s="43" t="n">
        <x:v>46232</x:v>
      </x:c>
      <x:c r="E43" s="43" t="str">
        <x:v>README and package manifest</x:v>
      </x:c>
      <x:c r="F43" t="str">
        <x:v>Generated two-extension release bundle; underlying author credit preserved.</x:v>
      </x:c>
    </x:row>
    <x:row r="44" ht="64" customHeight="1">
      <x:c r="A44" s="35" t="str">
        <x:v>Repository</x:v>
      </x:c>
      <x:c r="B44" s="35" t="str">
        <x:v>Kumwe CMS</x:v>
      </x:c>
      <x:c r="C44" s="35" t="str">
        <x:v>Modern CMS, typed business application platform, shared application services, signed extensions and durable automation</x:v>
      </x:c>
      <x:c r="D44" s="35" t="str">
        <x:v>https://github.com/kumwe/cms</x:v>
      </x:c>
      <x:c r="E44" s="50" t="n">
        <x:v>46247</x:v>
      </x:c>
      <x:c r="F44" s="35" t="str">
        <x:v>Master source, opening brief, documentation index, architecture material and source history reviewed through 13 August 2026; 331 attributable commits across 2,054 unique paths.</x:v>
      </x:c>
    </x:row>
  </x:sheetData>
  <x:mergeCells>
    <x:mergeCell ref="A1:F1"/>
    <x:mergeCell ref="A2:F2"/>
  </x:mergeCells>
  <x:pageMargins left="0.7" right="0.7" top="0.75" bottom="0.75" header="0.3" footer="0.3"/>
  <x:tableParts count="1">
    <x:tablePart xmlns:r="http://schemas.openxmlformats.org/officeDocument/2006/relationships" r:id="R865394dfe9d34b23"/>
  </x:tableParts>
</x:worksheet>
</file>

<file path=xl/worksheets/sheet9.xml><?xml version="1.0" encoding="utf-8"?>
<x:worksheet xmlns:x="http://schemas.openxmlformats.org/spreadsheetml/2006/main">
  <x:sheetViews>
    <x:sheetView showGridLines="1" workbookViewId="0"/>
  </x:sheetViews>
  <x:sheetFormatPr defaultColWidth="9.7578125" defaultRowHeight="15"/>
  <x:cols>
    <x:col min="1" max="1" width="32.91999816894531" hidden="0" customWidth="1"/>
    <x:col min="2" max="2" width="127.13999938964844" hidden="0" customWidth="1"/>
  </x:cols>
  <x:sheetData>
    <x:row r="1" ht="32" hidden="0" customHeight="1">
      <x:c r="A1" s="14" t="s">
        <x:v>396</x:v>
      </x:c>
      <x:c r="B1" s="14"/>
    </x:row>
    <x:row r="2" ht="30" hidden="0" customHeight="1">
      <x:c r="A2" s="2" t="s">
        <x:v>397</x:v>
      </x:c>
      <x:c r="B2" s="2"/>
    </x:row>
    <x:row r="3" ht="15" hidden="0">
      <x:c r="A3" s="3"/>
      <x:c r="B3" s="3"/>
    </x:row>
    <x:row r="4" ht="30" hidden="0" customHeight="1">
      <x:c r="A4" s="15" t="s">
        <x:v>398</x:v>
      </x:c>
      <x:c r="B4" s="15" t="s">
        <x:v>399</x:v>
      </x:c>
    </x:row>
    <x:row r="5" ht="62" hidden="0" customHeight="1">
      <x:c r="A5" s="11" t="s">
        <x:v>400</x:v>
      </x:c>
      <x:c r="B5" s="11" t="s">
        <x:v>401</x:v>
      </x:c>
    </x:row>
    <x:row r="6" ht="62" hidden="0" customHeight="1">
      <x:c r="A6" s="11" t="s">
        <x:v>402</x:v>
      </x:c>
      <x:c r="B6" s="11" t="s">
        <x:v>403</x:v>
      </x:c>
    </x:row>
    <x:row r="7" ht="62" hidden="0" customHeight="1">
      <x:c r="A7" s="11" t="s">
        <x:v>404</x:v>
      </x:c>
      <x:c r="B7" s="11" t="s">
        <x:v>405</x:v>
      </x:c>
    </x:row>
    <x:row r="8" ht="62" hidden="0" customHeight="1">
      <x:c r="A8" s="11" t="s">
        <x:v>406</x:v>
      </x:c>
      <x:c r="B8" s="11" t="s">
        <x:v>407</x:v>
      </x:c>
    </x:row>
    <x:row r="9" ht="62" hidden="0" customHeight="1">
      <x:c r="A9" s="11" t="s">
        <x:v>408</x:v>
      </x:c>
      <x:c r="B9" s="11" t="s">
        <x:v>409</x:v>
      </x:c>
    </x:row>
    <x:row r="10" ht="62" hidden="0" customHeight="1">
      <x:c r="A10" s="11" t="s">
        <x:v>410</x:v>
      </x:c>
      <x:c r="B10" s="11" t="str">
        <x:v>Current primary custodians are Vast Development Method, GetBible, JoomEngine, OctoLeo, Kumwe, True Christian and Llewellynvdm. Official external projects such as joomla-docker are retained where they provide independent evidence.</x:v>
      </x:c>
    </x:row>
    <x:row r="11" ht="62" hidden="0" customHeight="1">
      <x:c r="A11" s="11" t="s">
        <x:v>411</x:v>
      </x:c>
      <x:c r="B11" s="11" t="s">
        <x:v>412</x:v>
      </x:c>
    </x:row>
    <x:row r="12" ht="62" hidden="0" customHeight="1">
      <x:c r="A12" s="11" t="s">
        <x:v>413</x:v>
      </x:c>
      <x:c r="B12" s="11" t="s">
        <x:v>414</x:v>
      </x:c>
    </x:row>
    <x:row r="13" ht="62" hidden="0" customHeight="1">
      <x:c r="A13" s="11" t="s">
        <x:v>415</x:v>
      </x:c>
      <x:c r="B13" s="11" t="str">
        <x:v>The workbook contains 108 unique canonical repository records and zero fork rows.</x:v>
      </x:c>
    </x:row>
    <x:row r="14" ht="62" hidden="0" customHeight="1">
      <x:c r="A14" s="11" t="s">
        <x:v>416</x:v>
      </x:c>
      <x:c r="B14" s="11" t="s">
        <x:v>417</x:v>
      </x:c>
    </x:row>
    <x:row r="15" ht="62" hidden="0" customHeight="1">
      <x:c r="A15" s="11" t="s">
        <x:v>418</x:v>
      </x:c>
      <x:c r="B15" s="11" t="s">
        <x:v>419</x:v>
      </x:c>
    </x:row>
    <x:row r="16" ht="62" hidden="0" customHeight="1">
      <x:c r="A16" s="11" t="s">
        <x:v>420</x:v>
      </x:c>
      <x:c r="B16" s="11" t="s">
        <x:v>421</x:v>
      </x:c>
    </x:row>
    <x:row r="17" ht="62" hidden="0" customHeight="1">
      <x:c r="A17" s="11" t="s">
        <x:v>422</x:v>
      </x:c>
      <x:c r="B17" s="11" t="s">
        <x:v>423</x:v>
      </x:c>
    </x:row>
    <x:row r="18" ht="62" hidden="0" customHeight="1">
      <x:c r="A18" s="11" t="s">
        <x:v>424</x:v>
      </x:c>
      <x:c r="B18" s="11" t="s">
        <x:v>425</x:v>
      </x:c>
    </x:row>
    <x:row r="19" ht="62" hidden="0" customHeight="1">
      <x:c r="A19" s="11" t="s">
        <x:v>426</x:v>
      </x:c>
      <x:c r="B19" s="11" t="s">
        <x:v>427</x:v>
      </x:c>
    </x:row>
    <x:row r="20" ht="62" hidden="0" customHeight="1">
      <x:c r="A20" s="11" t="s">
        <x:v>428</x:v>
      </x:c>
      <x:c r="B20" s="11" t="s">
        <x:v>429</x:v>
      </x:c>
    </x:row>
    <x:row r="21" ht="62" hidden="0" customHeight="1">
      <x:c r="A21" s="11" t="s">
        <x:v>430</x:v>
      </x:c>
      <x:c r="B21" s="11" t="s">
        <x:v>431</x:v>
      </x:c>
    </x:row>
    <x:row r="22" ht="62" hidden="0" customHeight="1">
      <x:c r="A22" s="11" t="s">
        <x:v>432</x:v>
      </x:c>
      <x:c r="B22" s="11" t="s">
        <x:v>433</x:v>
      </x:c>
    </x:row>
    <x:row r="23" ht="62" hidden="0" customHeight="1">
      <x:c r="A23" s="11" t="s">
        <x:v>434</x:v>
      </x:c>
      <x:c r="B23" s="11" t="str">
        <x:v>Repository and organisation facts were refreshed through 13 August 2026 for the current GetBible, JoomEngine, Kumwe and Vast Development Method work. Kumwe CMS was promoted from a historical framework record to a current flagship business-platform record, while one deprecated organisation lineage was removed from presentation scope: 108 unique records and zero fork rows remain authoritative. Final CV production must still recheck time-sensitive present-role, release and conference claims.</x:v>
      </x:c>
    </x:row>
    <x:row r="24" ht="62" customHeight="1">
      <x:c r="A24" t="str">
        <x:v>Date-span interpretation</x:v>
      </x:c>
      <x:c r="B24" t="str">
        <x:v>Use the first attributable date, latest evidence date and active-month measures to show when a lineage began, how long it was visibly supported and whether it remains current. A date range demonstrates continuity; it is not a claim of uninterrupted daily work.</x:v>
      </x:c>
    </x:row>
    <x:row r="25" ht="62" customHeight="1">
      <x:c r="A25" t="str">
        <x:v>Pre-AI interpretation</x:v>
      </x:c>
      <x:c r="B25" t="str">
        <x:v>Long-running repositories established before modern generative coding systems are presented as dated hands-on engineering evidence. Recent AI/MCP repositories are a distinct later phase and must not be used to imply that the older portfolio was AI-generated.</x:v>
      </x:c>
    </x:row>
    <x:row r="26" ht="48" customHeight="1">
      <x:c r="A26" s="35" t="str">
        <x:v>CV presentation control</x:v>
      </x:c>
      <x:c r="B26" s="35" t="str">
        <x:v>The canonical register preserves reconciled historical lineages that remain presentation-relevant, while current CV presentation prioritises Vast Development Method, GetBible, JoomEngine, OctoLeo, Kumwe, True Christian, Llewellynvdm and official external contribution. Deprecated organisations and their repositories are excluded completely.</x:v>
      </x:c>
    </x:row>
  </x:sheetData>
  <x:mergeCells>
    <x:mergeCell ref="A1:B1"/>
    <x:mergeCell ref="A2:B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9.7578125" defaultRowHeight="15"/>
  <x:cols>
    <x:col min="1" max="1" width="15.890000343322754" hidden="0" customWidth="1"/>
    <x:col min="2" max="2" width="34.060001373291016" hidden="0" customWidth="1"/>
    <x:col min="3" max="3" width="73.77999877929688" hidden="0" customWidth="1"/>
    <x:col min="4" max="4" width="65.83999633789062" hidden="0" customWidth="1"/>
  </x:cols>
  <x:sheetData>
    <x:row r="1" ht="32" hidden="0" customHeight="1">
      <x:c r="A1" s="14" t="s">
        <x:v>435</x:v>
      </x:c>
      <x:c r="B1" s="14"/>
      <x:c r="C1" s="14"/>
      <x:c r="D1" s="14"/>
    </x:row>
    <x:row r="2" ht="30" hidden="0" customHeight="1">
      <x:c r="A2" s="2" t="str">
        <x:v>Material reconciliation and public-source updates completed from 28 July through 13 August 2026.</x:v>
      </x:c>
      <x:c r="B2" s="2"/>
      <x:c r="C2" s="2"/>
      <x:c r="D2" s="2"/>
    </x:row>
    <x:row r="3" ht="15" hidden="0">
      <x:c r="A3" s="3"/>
      <x:c r="B3" s="3"/>
      <x:c r="C3" s="3"/>
      <x:c r="D3" s="3"/>
    </x:row>
    <x:row r="4" ht="30" hidden="0" customHeight="1">
      <x:c r="A4" s="15" t="s">
        <x:v>436</x:v>
      </x:c>
      <x:c r="B4" s="15" t="s">
        <x:v>437</x:v>
      </x:c>
      <x:c r="C4" s="15" t="s">
        <x:v>438</x:v>
      </x:c>
      <x:c r="D4" s="15" t="s">
        <x:v>439</x:v>
      </x:c>
    </x:row>
    <x:row r="5" ht="54" hidden="0" customHeight="1">
      <x:c r="A5" s="49" t="n">
        <x:v>46231</x:v>
      </x:c>
      <x:c r="B5" s="11" t="s">
        <x:v>440</x:v>
      </x:c>
      <x:c r="C5" s="11" t="s">
        <x:v>441</x:v>
      </x:c>
      <x:c r="D5" s="11" t="s">
        <x:v>442</x:v>
      </x:c>
    </x:row>
    <x:row r="6" ht="54" hidden="0" customHeight="1">
      <x:c r="A6" s="49" t="n">
        <x:v>46231</x:v>
      </x:c>
      <x:c r="B6" s="11" t="s">
        <x:v>443</x:v>
      </x:c>
      <x:c r="C6" s="11" t="s">
        <x:v>444</x:v>
      </x:c>
      <x:c r="D6" s="11" t="s">
        <x:v>445</x:v>
      </x:c>
    </x:row>
    <x:row r="7" ht="54" hidden="0" customHeight="1">
      <x:c r="A7" s="49" t="n">
        <x:v>46231</x:v>
      </x:c>
      <x:c r="B7" s="11" t="s">
        <x:v>446</x:v>
      </x:c>
      <x:c r="C7" s="11" t="s">
        <x:v>447</x:v>
      </x:c>
      <x:c r="D7" s="11" t="s">
        <x:v>448</x:v>
      </x:c>
    </x:row>
    <x:row r="8" ht="54" hidden="0" customHeight="1">
      <x:c r="A8" s="49" t="n">
        <x:v>46231</x:v>
      </x:c>
      <x:c r="B8" s="11" t="s">
        <x:v>449</x:v>
      </x:c>
      <x:c r="C8" s="11" t="s">
        <x:v>450</x:v>
      </x:c>
      <x:c r="D8" s="11" t="s">
        <x:v>451</x:v>
      </x:c>
    </x:row>
    <x:row r="9" ht="54" hidden="0" customHeight="1">
      <x:c r="A9" s="49" t="n">
        <x:v>46231</x:v>
      </x:c>
      <x:c r="B9" s="11" t="s">
        <x:v>327</x:v>
      </x:c>
      <x:c r="C9" s="11" t="s">
        <x:v>452</x:v>
      </x:c>
      <x:c r="D9" s="11" t="s">
        <x:v>453</x:v>
      </x:c>
    </x:row>
    <x:row r="10" ht="54" hidden="0" customHeight="1">
      <x:c r="A10" s="49" t="n">
        <x:v>46231</x:v>
      </x:c>
      <x:c r="B10" s="11" t="s">
        <x:v>331</x:v>
      </x:c>
      <x:c r="C10" s="11" t="s">
        <x:v>454</x:v>
      </x:c>
      <x:c r="D10" s="11" t="s">
        <x:v>455</x:v>
      </x:c>
    </x:row>
    <x:row r="11" ht="54" hidden="0" customHeight="1">
      <x:c r="A11" s="49" t="n">
        <x:v>46231</x:v>
      </x:c>
      <x:c r="B11" s="11" t="s">
        <x:v>323</x:v>
      </x:c>
      <x:c r="C11" s="11" t="s">
        <x:v>456</x:v>
      </x:c>
      <x:c r="D11" s="11" t="s">
        <x:v>457</x:v>
      </x:c>
    </x:row>
    <x:row r="12" ht="54" hidden="0" customHeight="1">
      <x:c r="A12" s="49" t="n">
        <x:v>46231</x:v>
      </x:c>
      <x:c r="B12" s="11" t="s">
        <x:v>458</x:v>
      </x:c>
      <x:c r="C12" s="11" t="s">
        <x:v>459</x:v>
      </x:c>
      <x:c r="D12" s="11" t="str">
        <x:v>13 flagship records presented before the full canonical register.</x:v>
      </x:c>
    </x:row>
    <x:row r="13" ht="54" hidden="0" customHeight="1">
      <x:c r="A13" s="49" t="n">
        <x:v>46231</x:v>
      </x:c>
      <x:c r="B13" s="11" t="s">
        <x:v>460</x:v>
      </x:c>
      <x:c r="C13" s="11" t="s">
        <x:v>461</x:v>
      </x:c>
      <x:c r="D13" s="11" t="s">
        <x:v>462</x:v>
      </x:c>
    </x:row>
    <x:row r="14" ht="54" hidden="0" customHeight="1">
      <x:c r="A14" s="49" t="n">
        <x:v>46231</x:v>
      </x:c>
      <x:c r="B14" s="11" t="s">
        <x:v>463</x:v>
      </x:c>
      <x:c r="C14" s="11" t="s">
        <x:v>464</x:v>
      </x:c>
      <x:c r="D14" s="11" t="s">
        <x:v>465</x:v>
      </x:c>
    </x:row>
    <x:row r="15" ht="46" customHeight="1">
      <x:c r="A15" s="50" t="n">
        <x:v>46232</x:v>
      </x:c>
      <x:c r="B15" s="35" t="str">
        <x:v>Public-source freshness</x:v>
      </x:c>
      <x:c r="C15" s="35" t="str">
        <x:v>Reviewed current Vast Development Method, GetBible and JoomEngine repository state against the canonical register.</x:v>
      </x:c>
      <x:c r="D15" s="35" t="str">
        <x:v>All newly visible GetBible application, desktop, Flutter, MCP, native, study-builder, Robot and v3 work was already represented; after the presentation exclusion, the control is 108 unique canonical records and zero fork rows.</x:v>
      </x:c>
    </x:row>
    <x:row r="16" ht="46" customHeight="1">
      <x:c r="A16" s="50" t="n">
        <x:v>46232</x:v>
      </x:c>
      <x:c r="B16" s="35" t="str">
        <x:v>GetBible Robot</x:v>
      </x:c>
      <x:c r="C16" s="35" t="str">
        <x:v>Refreshed the flagship evidence for the current authenticated Mini App, compact/fullscreen reader UX, translation synchronisation, accessibility/reduced-motion testing, and container release path.</x:v>
      </x:c>
      <x:c r="D16" s="35" t="str">
        <x:v>Robot 2.1.0 Linux AMD64/ARM64 images and release-pinned Compose delivery are now stated explicitly without guessing a current commit total.</x:v>
      </x:c>
    </x:row>
    <x:row r="17" ht="46" customHeight="1">
      <x:c r="A17" s="50" t="n">
        <x:v>46232</x:v>
      </x:c>
      <x:c r="B17" s="35" t="str">
        <x:v>Vast Development Method</x:v>
      </x:c>
      <x:c r="C17" s="35" t="str">
        <x:v>Completed full default-branch commit recounts and current source review for OpenCode Platform and Colibri Setup.</x:v>
      </x:c>
      <x:c r="D17" s="35" t="str">
        <x:v>OpenCode Platform updated to 41 verified commits; Colibri Setup updated to 53 verified commits with 80% RAM safety and CPU-only startup evidence.</x:v>
      </x:c>
    </x:row>
    <x:row r="18" ht="46" customHeight="1">
      <x:c r="A18" s="50" t="n">
        <x:v>46232</x:v>
      </x:c>
      <x:c r="B18" s="35" t="str">
        <x:v>Publication assets</x:v>
      </x:c>
      <x:c r="C18" s="35" t="str">
        <x:v>Registered all five supplied portrait sources and assigned evidence-safe editorial roles.</x:v>
      </x:c>
      <x:c r="D18" s="35" t="str">
        <x:v>Natural 2024 photographs are primary; stylised 2021 images are optional secondary Exhaustive CV accents only.</x:v>
      </x:c>
    </x:row>
    <x:row r="19" ht="58" customHeight="1">
      <x:c r="A19" s="43" t="n">
        <x:v>46232</x:v>
      </x:c>
      <x:c r="B19" t="str">
        <x:v>Ministry evidence correction</x:v>
      </x:c>
      <x:c r="C19" t="str">
        <x:v>Corrected the archive threshold to twenty minutes and recorded that the supplied audio archive and public church-channel playlist contain different messages.</x:v>
      </x:c>
      <x:c r="D19" t="str">
        <x:v>The evidence is now additive: approximately 831 sermons and 688.53 hours (approximately 689) across 8 years; all overlap caveats were retired.</x:v>
      </x:c>
    </x:row>
    <x:row r="20" ht="54" customHeight="1">
      <x:c r="A20" s="50" t="n">
        <x:v>46232</x:v>
      </x:c>
      <x:c r="B20" s="35" t="str">
        <x:v>Exhaustive-CV evidence expansion and current reconciliation</x:v>
      </x:c>
      <x:c r="C20" s="35" t="str">
        <x:v>Expanded OctoLeo and JoomEngine descriptions; added date-span, pre-generative-AI and confidential-work guidance; replaced three non-project or non-attributable rows with Octodinator, GetBible Joomla Package and the JCB release package; replaced JoomEngine organisation metadata with the Service Directory release package.</x:v>
      </x:c>
      <x:c r="D20" s="35" t="str">
        <x:v>Canonical count was 109 before the explicit presentation exclusion. All replacements are public, non-fork and attributable; no duplicate application claim is made for generated release bundles.</x:v>
      </x:c>
    </x:row>
    <x:row r="21" ht="70" customHeight="1">
      <x:c r="A21" s="50" t="n">
        <x:v>46247</x:v>
      </x:c>
      <x:c r="B21" s="35" t="str">
        <x:v>Kumwe and presentation authority</x:v>
      </x:c>
      <x:c r="C21" s="35" t="str">
        <x:v>Promoted Kumwe CMS into the flagship portfolio using current opening-brief, architecture, source-history and quality-gate evidence; removed one deprecated organisation and its repository from all presentation data.</x:v>
      </x:c>
      <x:c r="D21" s="35" t="str">
        <x:v>Kumwe CMS is flagship rank 6; the workbook now contains 108 canonical repositories and 13 flagship records.</x:v>
      </x:c>
    </x:row>
  </x:sheetData>
  <x:mergeCells>
    <x:mergeCell ref="A1:D1"/>
    <x:mergeCell ref="A2:D2"/>
  </x:mergeCells>
  <x:pageMargins left="0.7" right="0.7" top="0.75" bottom="0.75" header="0.3" footer="0.3"/>
  <x:tableParts count="1">
    <x:tablePart xmlns:r="http://schemas.openxmlformats.org/officeDocument/2006/relationships" r:id="R529f40e65ce14fd3"/>
  </x:tableParts>
</x:worksheet>
</file>